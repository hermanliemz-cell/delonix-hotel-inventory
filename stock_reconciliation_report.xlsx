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etail" sheetId="2" state="visible" r:id="rId4"/>
    <sheet name="Penyebab &amp; Rekomendasi" sheetId="3" state="visible" r:id="rId5"/>
  </sheets>
  <definedNames>
    <definedName function="false" hidden="true" localSheetId="1" name="_xlnm._FilterDatabase" vbProcedure="false">Detail!$A$1:$F$128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<sst xmlns="http://schemas.openxmlformats.org/spreadsheetml/2006/main" count="364" uniqueCount="123">
  <si>
    <t xml:space="preserve">LAPORAN REKONSILIASI STOCK BALANCE vs BIN CARD</t>
  </si>
  <si>
    <t xml:space="preserve">Tanggal Analisis: 5 April 2026</t>
  </si>
  <si>
    <t xml:space="preserve">KEY METRICS</t>
  </si>
  <si>
    <t xml:space="preserve">Total item dengan selisih (mismatch)</t>
  </si>
  <si>
    <t xml:space="preserve">Total absolute delta (unit)</t>
  </si>
  <si>
    <t xml:space="preserve">Jumlah unique item yang terdampak</t>
  </si>
  <si>
    <t xml:space="preserve">Jumlah unique (item, dept) keys total di stock_balance</t>
  </si>
  <si>
    <t xml:space="preserve">Jumlah rows aktual di stock_balance</t>
  </si>
  <si>
    <t xml:space="preserve">Rasio duplikasi stock_balance</t>
  </si>
  <si>
    <t xml:space="preserve">Keys dengan row_count &gt; 1 (terduplikasi)</t>
  </si>
  <si>
    <t xml:space="preserve">Keys dengan row_count = 1 (tunggal)</t>
  </si>
  <si>
    <t xml:space="preserve">BREAKDOWN PER DEPARTMENT</t>
  </si>
  <si>
    <t xml:space="preserve">Department</t>
  </si>
  <si>
    <t xml:space="preserve">Stock Balance Sum</t>
  </si>
  <si>
    <t xml:space="preserve">Bin Card Qty</t>
  </si>
  <si>
    <t xml:space="preserve">Delta (SB - Bin)</t>
  </si>
  <si>
    <t xml:space="preserve">Status</t>
  </si>
  <si>
    <t xml:space="preserve">General Store</t>
  </si>
  <si>
    <t xml:space="preserve">UNDER (SB lebih rendah dari bin card)</t>
  </si>
  <si>
    <t xml:space="preserve">Housekeeping</t>
  </si>
  <si>
    <t xml:space="preserve">OVER (bin card minus → missing transfer-in)</t>
  </si>
  <si>
    <t xml:space="preserve">Management</t>
  </si>
  <si>
    <t xml:space="preserve">(null) dept</t>
  </si>
  <si>
    <t xml:space="preserve">Tidak terpetakan ke department</t>
  </si>
  <si>
    <t xml:space="preserve">TOP 10 ITEM DENGAN SELISIH TERBESAR (absolute)</t>
  </si>
  <si>
    <t xml:space="preserve">Rank</t>
  </si>
  <si>
    <t xml:space="preserve">Item</t>
  </si>
  <si>
    <t xml:space="preserve">Dept</t>
  </si>
  <si>
    <t xml:space="preserve">SB Sum</t>
  </si>
  <si>
    <t xml:space="preserve">Bin Card</t>
  </si>
  <si>
    <t xml:space="preserve">Delta</t>
  </si>
  <si>
    <t xml:space="preserve">Mineral Water 600ml Le Mineral</t>
  </si>
  <si>
    <t xml:space="preserve">Dental Kit Budi Jaya</t>
  </si>
  <si>
    <t xml:space="preserve">Slipper Set</t>
  </si>
  <si>
    <t xml:space="preserve">Pillow Case 50x90cm + Flap Wonderful</t>
  </si>
  <si>
    <t xml:space="preserve">Comb Budi Jaya</t>
  </si>
  <si>
    <t xml:space="preserve">Coffee Sachet Nescafe</t>
  </si>
  <si>
    <t xml:space="preserve">Bath Towel 69x137cm Wonderful</t>
  </si>
  <si>
    <t xml:space="preserve">SB Row Count</t>
  </si>
  <si>
    <t xml:space="preserve">Hand Towel 41x76cm Wonderful</t>
  </si>
  <si>
    <t xml:space="preserve">Tea Sachet Sosro</t>
  </si>
  <si>
    <t xml:space="preserve">Duvet Cover King 260x240cm + Flap Wonderful</t>
  </si>
  <si>
    <t xml:space="preserve">Shower Cap Budi Jaya</t>
  </si>
  <si>
    <t xml:space="preserve">Bedsheet King 260x300cm Wonderful</t>
  </si>
  <si>
    <t xml:space="preserve">White Sugar Sachet</t>
  </si>
  <si>
    <t xml:space="preserve">Bath Mat 50x75cm Wonderful</t>
  </si>
  <si>
    <t xml:space="preserve">Brown Sugar Sachet</t>
  </si>
  <si>
    <t xml:space="preserve">Creamer Sachet</t>
  </si>
  <si>
    <t xml:space="preserve">Bed Sheet Twin 215x300cm Wonderful</t>
  </si>
  <si>
    <t xml:space="preserve">Bed Sheet Hollywood 340x300cm Wonderful</t>
  </si>
  <si>
    <t xml:space="preserve">Bedsheet King Bonvivo</t>
  </si>
  <si>
    <t xml:space="preserve">Duvet King Bonvivo</t>
  </si>
  <si>
    <t xml:space="preserve">Hand Towel 40x70cm HAU</t>
  </si>
  <si>
    <t xml:space="preserve">(null)</t>
  </si>
  <si>
    <t xml:space="preserve">Duvet Cover Twin 185x235cm + Flap Wonderful</t>
  </si>
  <si>
    <t xml:space="preserve">Pillow 50x85cm Wonderful</t>
  </si>
  <si>
    <t xml:space="preserve">Tea Bag Sachet Lipton</t>
  </si>
  <si>
    <t xml:space="preserve">Duvet Cover Hollywood 320x235cm Wonderful</t>
  </si>
  <si>
    <t xml:space="preserve">Shaving Kit Budi Jaya</t>
  </si>
  <si>
    <t xml:space="preserve">Face Towel 33x33cm Wonderful</t>
  </si>
  <si>
    <t xml:space="preserve">Nursing Kit Budi Jaya</t>
  </si>
  <si>
    <t xml:space="preserve">Bath Towel 70x140cm HAU</t>
  </si>
  <si>
    <t xml:space="preserve">Duvet Cover Twin 215x240cm + Flap Wonderful</t>
  </si>
  <si>
    <t xml:space="preserve">Bed Sheet King 230x300cm Wonderful</t>
  </si>
  <si>
    <t xml:space="preserve">Bed Sheet King 280x300cm Wonderful</t>
  </si>
  <si>
    <t xml:space="preserve">Duvet Cover King 225x235cm + Flap Wonderful</t>
  </si>
  <si>
    <t xml:space="preserve">Sewing Kit Budi Jaya</t>
  </si>
  <si>
    <t xml:space="preserve">Bedsheet King CP HAU</t>
  </si>
  <si>
    <t xml:space="preserve">Pillow Case 50x85cm + Flap Wonderful</t>
  </si>
  <si>
    <t xml:space="preserve">Waffle Bathrobe Large Wonderful</t>
  </si>
  <si>
    <t xml:space="preserve">Duvet Cover King CP </t>
  </si>
  <si>
    <t xml:space="preserve">Duvet Cover King 260x240cm + Flap HAU</t>
  </si>
  <si>
    <t xml:space="preserve">Bed Sheet Twin 240x300cm Wonderful</t>
  </si>
  <si>
    <t xml:space="preserve">Bath Mat 50x75cm HAU</t>
  </si>
  <si>
    <t xml:space="preserve">ANALISIS PENYEBAB &amp; REKOMENDASI PERBAIKAN</t>
  </si>
  <si>
    <t xml:space="preserve">1. TEMUAN UTAMA</t>
  </si>
  <si>
    <t xml:space="preserve">Masalah #1 — Duplikasi row di stock_balance</t>
  </si>
  <si>
    <t xml:space="preserve">Tabel stock_balance memiliki 1.075 baris untuk hanya 123 kombinasi unik (org_id, dept_id, item_id). Artinya banyak record terduplikasi: 84 kombinasi punya lebih dari satu baris, hanya 39 yang tunggal. Rasio duplikasi sekitar 8,7x. Ini berarti setiap kali ada transaksi, sistem membuat row BARU di stock_balance alih-alih meng-UPDATE row yang sudah ada.</t>
  </si>
  <si>
    <t xml:space="preserve">Masalah #2 — Missing transfer-IN movements untuk Housekeeping &amp; Management</t>
  </si>
  <si>
    <t xml:space="preserve">Untuk 11 item utama (Mineral Water, Dental Kit, Slipper Set, Coffee, Tea, Sugar, Shower Cap, Comb, Creamer, Brown Sugar, White Sugar), Housekeeping mencatat stock_movement OUT (single usage / room consumption) tetapi TIDAK ADA stock_movement IN sebagai transfer masuk dari General Store. Akibatnya bin card Housekeeping menjadi NEGATIF (misal Mineral Water HK = -598). Pattern yang sama terlihat di Management (gudang pantry). Ini menunjukkan proses Transfer antar department tidak membuat pasangan movement IN+OUT dengan benar.</t>
  </si>
  <si>
    <t xml:space="preserve">Masalah #3 — stock_balance tidak tersinkronisasi dengan stock_movements</t>
  </si>
  <si>
    <t xml:space="preserve">Meski movement OUT tercatat di bin card, stock_balance Housekeeping untuk item-item tersebut masih 0 (sb_row_count = 0). Artinya trigger/function sinkronisasi stock_movement → stock_balance GAGAL membuat row untuk department tujuan ketika belum ada row eksisting. Sebaliknya untuk General Store, beberapa item memiliki stock_balance yang lebih kecil dari bin card (contoh: Mineral Water GS sb=2.089 vs bin=2.748, selisih 659), menandakan ada stock_movement yang tidak ter-propagasi ke stock_balance.</t>
  </si>
  <si>
    <t xml:space="preserve">Masalah #4 — Data dengan department NULL</t>
  </si>
  <si>
    <t xml:space="preserve">12 baris memiliki department NULL (dept_id tidak ter-mapping). Ini muncul dari stock_movement yang tidak memiliki dept_id valid pada saat transaksi atau stock_balance row yang dept_id-nya sudah dihapus.</t>
  </si>
  <si>
    <t xml:space="preserve">2. DAMPAK PER DEPARTMENT</t>
  </si>
  <si>
    <t xml:space="preserve">UNDER-stated sebesar 2.569,5 unit. Stock balance lebih kecil dari yang seharusnya (berdasarkan bin card). Risk: warehouse bisa terlihat kehabisan stok padahal fisik masih ada, memicu PR/PO berlebihan.</t>
  </si>
  <si>
    <t xml:space="preserve">OVER-stated sebesar 2.107,5 unit (relatif terhadap bin card yang minus). Stock balance menunjukkan nilai padahal bin card menunjukkan penggunaan tanpa transfer masuk. Risk: konsumsi room tidak ter-cost dengan benar, laporan HPP kamar tidak akurat.</t>
  </si>
  <si>
    <t xml:space="preserve">OVER-stated sebesar 532 unit. Pola sama dengan Housekeeping — bin card minus karena transfer-in tidak tercatat.</t>
  </si>
  <si>
    <t xml:space="preserve">3. ROOT CAUSE (Teknis)</t>
  </si>
  <si>
    <t xml:space="preserve">A. Trigger/function sync stock_balance</t>
  </si>
  <si>
    <t xml:space="preserve">Fungsi yang mensinkronisasi stock_movements ke stock_balance kemungkinan menggunakan INSERT tanpa ON CONFLICT, atau tidak menggunakan UPSERT pada kombinasi (org_id, dept_id, item_id). Setiap movement membuat row baru → duplikasi.</t>
  </si>
  <si>
    <t xml:space="preserve">B. Tidak ada UNIQUE constraint</t>
  </si>
  <si>
    <t xml:space="preserve">Tabel stock_balance tidak memiliki UNIQUE constraint pada (org_id, dept_id, item_id) sehingga duplikasi tidak dicegah pada level database.</t>
  </si>
  <si>
    <t xml:space="preserve">C. Transfer module</t>
  </si>
  <si>
    <t xml:space="preserve">Halaman Transfer kemungkinan hanya membuat satu sisi movement (OUT di source atau IN di destination), tidak keduanya. Atau destination dept_id tidak di-pass dengan benar.</t>
  </si>
  <si>
    <t xml:space="preserve">D. Direct write ke stock_balance</t>
  </si>
  <si>
    <t xml:space="preserve">Beberapa halaman (kemungkinan Adjustment, Opening Balance, atau Stock Opname) menulis langsung ke stock_balance tanpa membuat stock_movement, sehingga bin card dan balance tidak nyambung.</t>
  </si>
  <si>
    <t xml:space="preserve">4. REKOMENDASI PERBAIKAN</t>
  </si>
  <si>
    <t xml:space="preserve">PRIORITAS 1 — Dedupe stock_balance sekarang</t>
  </si>
  <si>
    <t xml:space="preserve">Jalankan script dedupe: untuk setiap (org_id, dept_id, item_id) sum semua qty, simpan di satu row, hapus sisanya. Script:
BEGIN;
CREATE TABLE inventory.stock_balance_backup AS SELECT * FROM inventory.stock_balance;
WITH dedup AS (
  SELECT org_id, dept_id, item_id, SUM(qty) AS total_qty, MIN(id) AS keep_id
  FROM inventory.stock_balance GROUP BY 1,2,3
)
UPDATE inventory.stock_balance sb SET qty = d.total_qty
FROM dedup d WHERE sb.id = d.keep_id;
DELETE FROM inventory.stock_balance sb
WHERE NOT EXISTS (SELECT 1 FROM dedup d WHERE d.keep_id = sb.id);
COMMIT;</t>
  </si>
  <si>
    <t xml:space="preserve">PRIORITAS 2 — Tambahkan UNIQUE constraint</t>
  </si>
  <si>
    <t xml:space="preserve">Setelah dedupe, tambahkan constraint agar duplikasi tidak terjadi lagi:
ALTER TABLE inventory.stock_balance
  ADD CONSTRAINT stock_balance_org_dept_item_key
  UNIQUE (org_id, dept_id, item_id);</t>
  </si>
  <si>
    <t xml:space="preserve">PRIORITAS 3 — Rewrite trigger sync ke UPSERT</t>
  </si>
  <si>
    <t xml:space="preserve">Ubah fungsi sinkronisasi stock_movement → stock_balance menggunakan INSERT ... ON CONFLICT DO UPDATE (upsert) berdasarkan kombinasi (org_id, dept_id, item_id), bukan INSERT biasa. Logic:
• Untuk OUT movement: qty -= movement.qty
• Untuk IN movement: qty += movement.qty
• ON CONFLICT (org_id, dept_id, item_id) DO UPDATE SET qty = stock_balance.qty ± EXCLUDED.qty;</t>
  </si>
  <si>
    <t xml:space="preserve">PRIORITAS 4 — Audit &amp; backfill missing transfer-IN</t>
  </si>
  <si>
    <t xml:space="preserve">Untuk setiap item yang Housekeeping/Management bin card-nya negatif, backfill stock_movement IN dengan source General Store dan quantity sebesar nilai absolut dari bin card negatif tersebut. Contoh: Mineral Water HK bin=-598 → insert movement IN qty=598 di HK dan OUT qty=598 di GS (jika belum pernah dicatat). Ini akan menormalisasi bin card dan stock_balance secara konsisten.</t>
  </si>
  <si>
    <t xml:space="preserve">PRIORITAS 5 — Audit module Transfer</t>
  </si>
  <si>
    <t xml:space="preserve">Review kode halaman Transfer di `src/pages/TransferPage.jsx` (atau file sejenis). Pastikan setiap transfer yang di-save membuat DUA stock_movement: OUT di source dept dan IN di destination dept, dengan qty yang sama, dan keduanya dalam satu transaction (atomic). Tambahkan unit test.</t>
  </si>
  <si>
    <t xml:space="preserve">PRIORITAS 6 — Audit module yang menulis langsung ke stock_balance</t>
  </si>
  <si>
    <t xml:space="preserve">Grep seluruh codebase untuk pola `.from('stock_balance').update(` atau `.insert(`. Setiap lokasi yang menulis langsung harus juga membuat stock_movement row (kategori "Adjustment", "Opening Balance", atau "Opname") agar bin card tetap audit-able dan tersinkronisasi.</t>
  </si>
  <si>
    <t xml:space="preserve">PRIORITAS 7 — Stock Opname koreksi akhir</t>
  </si>
  <si>
    <t xml:space="preserve">Setelah semua fix di atas selesai dan dedupe dijalankan, lakukan Stock Opname fisik penuh untuk semua item yang ada di sheet Detail (terutama top 10) agar nilai final benar-benar match dengan kondisi fisik gudang. Ini menjadi baseline baru yang bersih.</t>
  </si>
  <si>
    <t xml:space="preserve">5. TIMELINE YANG DIREKOMENDASIKAN</t>
  </si>
  <si>
    <t xml:space="preserve">Hari 1</t>
  </si>
  <si>
    <t xml:space="preserve">Backup database + jalankan Prioritas 1 (dedupe) + Prioritas 2 (unique constraint) di staging</t>
  </si>
  <si>
    <t xml:space="preserve">Hari 2-3</t>
  </si>
  <si>
    <t xml:space="preserve">Fix kode (Prioritas 3, 5, 6), deploy ke staging, test end-to-end dengan semua jenis movement</t>
  </si>
  <si>
    <t xml:space="preserve">Hari 4</t>
  </si>
  <si>
    <t xml:space="preserve">Jalankan Prioritas 4 (backfill) di staging → validasi hasil</t>
  </si>
  <si>
    <t xml:space="preserve">Hari 5</t>
  </si>
  <si>
    <t xml:space="preserve">Deploy ke production (jam sepi) + monitor</t>
  </si>
  <si>
    <t xml:space="preserve">Minggu berikut</t>
  </si>
  <si>
    <t xml:space="preserve">Prioritas 7 (stock opname fisik) + publikasikan baseline baru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</si>
</sst>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x"/>
    <numFmt numFmtId="166" formatCode="#,##0.0;\(#,##0.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5" min="3" style="0" width="18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127</v>
      </c>
    </row>
    <row r="6" customFormat="false" ht="15" hidden="false" customHeight="false" outlineLevel="0" collapsed="false">
      <c r="A6" s="4" t="s">
        <v>4</v>
      </c>
      <c r="B6" s="5" t="n">
        <f aca="false">SUMPRODUCT(ABS(Detail!F2:F128))</f>
        <v>5366</v>
      </c>
    </row>
    <row r="7" customFormat="false" ht="15" hidden="false" customHeight="false" outlineLevel="0" collapsed="false">
      <c r="A7" s="4" t="s">
        <v>5</v>
      </c>
      <c r="B7" s="5" t="n">
        <v>40</v>
      </c>
    </row>
    <row r="8" customFormat="false" ht="15" hidden="false" customHeight="false" outlineLevel="0" collapsed="false">
      <c r="A8" s="4" t="s">
        <v>6</v>
      </c>
      <c r="B8" s="5" t="n">
        <v>123</v>
      </c>
    </row>
    <row r="9" customFormat="false" ht="15" hidden="false" customHeight="false" outlineLevel="0" collapsed="false">
      <c r="A9" s="4" t="s">
        <v>7</v>
      </c>
      <c r="B9" s="5" t="n">
        <v>1075</v>
      </c>
    </row>
    <row r="10" customFormat="false" ht="15" hidden="false" customHeight="false" outlineLevel="0" collapsed="false">
      <c r="A10" s="4" t="s">
        <v>8</v>
      </c>
      <c r="B10" s="6" t="n">
        <f aca="false">B9/B8</f>
        <v>8.73983739837398</v>
      </c>
    </row>
    <row r="11" customFormat="false" ht="15" hidden="false" customHeight="false" outlineLevel="0" collapsed="false">
      <c r="A11" s="4" t="s">
        <v>9</v>
      </c>
      <c r="B11" s="5" t="n">
        <v>84</v>
      </c>
    </row>
    <row r="12" customFormat="false" ht="15" hidden="false" customHeight="false" outlineLevel="0" collapsed="false">
      <c r="A12" s="4" t="s">
        <v>10</v>
      </c>
      <c r="B12" s="5" t="n">
        <v>39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7" t="s">
        <v>12</v>
      </c>
      <c r="B15" s="7" t="s">
        <v>13</v>
      </c>
      <c r="C15" s="7" t="s">
        <v>14</v>
      </c>
      <c r="D15" s="7" t="s">
        <v>15</v>
      </c>
      <c r="E15" s="7" t="s">
        <v>16</v>
      </c>
    </row>
    <row r="16" customFormat="false" ht="23.85" hidden="false" customHeight="false" outlineLevel="0" collapsed="false">
      <c r="A16" s="8" t="s">
        <v>17</v>
      </c>
      <c r="B16" s="9" t="n">
        <v>19690.5</v>
      </c>
      <c r="C16" s="9" t="n">
        <v>22260</v>
      </c>
      <c r="D16" s="9" t="n">
        <v>-2569.5</v>
      </c>
      <c r="E16" s="10" t="s">
        <v>18</v>
      </c>
    </row>
    <row r="17" customFormat="false" ht="35.05" hidden="false" customHeight="false" outlineLevel="0" collapsed="false">
      <c r="A17" s="8" t="s">
        <v>19</v>
      </c>
      <c r="B17" s="9" t="n">
        <v>383.5</v>
      </c>
      <c r="C17" s="9" t="n">
        <v>-1724</v>
      </c>
      <c r="D17" s="9" t="n">
        <v>2107.5</v>
      </c>
      <c r="E17" s="10" t="s">
        <v>20</v>
      </c>
    </row>
    <row r="18" customFormat="false" ht="35.05" hidden="false" customHeight="false" outlineLevel="0" collapsed="false">
      <c r="A18" s="8" t="s">
        <v>21</v>
      </c>
      <c r="B18" s="9" t="n">
        <v>460</v>
      </c>
      <c r="C18" s="9" t="n">
        <v>-72</v>
      </c>
      <c r="D18" s="9" t="n">
        <v>532</v>
      </c>
      <c r="E18" s="10" t="s">
        <v>20</v>
      </c>
    </row>
    <row r="19" customFormat="false" ht="23.85" hidden="false" customHeight="false" outlineLevel="0" collapsed="false">
      <c r="A19" s="8" t="s">
        <v>22</v>
      </c>
      <c r="B19" s="9" t="n">
        <v>21</v>
      </c>
      <c r="C19" s="9" t="n">
        <v>87</v>
      </c>
      <c r="D19" s="9" t="n">
        <v>-66</v>
      </c>
      <c r="E19" s="10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7" t="s">
        <v>25</v>
      </c>
      <c r="B22" s="7" t="s">
        <v>26</v>
      </c>
      <c r="C22" s="7" t="s">
        <v>27</v>
      </c>
      <c r="D22" s="7" t="s">
        <v>28</v>
      </c>
      <c r="E22" s="7" t="s">
        <v>29</v>
      </c>
      <c r="F22" s="7" t="s">
        <v>30</v>
      </c>
    </row>
    <row r="23" customFormat="false" ht="15" hidden="false" customHeight="false" outlineLevel="0" collapsed="false">
      <c r="A23" s="8" t="n">
        <v>1</v>
      </c>
      <c r="B23" s="8" t="s">
        <v>31</v>
      </c>
      <c r="C23" s="8" t="s">
        <v>17</v>
      </c>
      <c r="D23" s="9" t="n">
        <v>2089</v>
      </c>
      <c r="E23" s="9" t="n">
        <v>2748</v>
      </c>
      <c r="F23" s="11" t="n">
        <v>-659</v>
      </c>
    </row>
    <row r="24" customFormat="false" ht="15" hidden="false" customHeight="false" outlineLevel="0" collapsed="false">
      <c r="A24" s="8" t="n">
        <v>2</v>
      </c>
      <c r="B24" s="8" t="s">
        <v>31</v>
      </c>
      <c r="C24" s="8" t="s">
        <v>19</v>
      </c>
      <c r="D24" s="9" t="n">
        <v>0</v>
      </c>
      <c r="E24" s="9" t="n">
        <v>-598</v>
      </c>
      <c r="F24" s="11" t="n">
        <v>598</v>
      </c>
    </row>
    <row r="25" customFormat="false" ht="15" hidden="false" customHeight="false" outlineLevel="0" collapsed="false">
      <c r="A25" s="8" t="n">
        <v>3</v>
      </c>
      <c r="B25" s="8" t="s">
        <v>32</v>
      </c>
      <c r="C25" s="8" t="s">
        <v>17</v>
      </c>
      <c r="D25" s="9" t="n">
        <v>1494</v>
      </c>
      <c r="E25" s="9" t="n">
        <v>1855</v>
      </c>
      <c r="F25" s="11" t="n">
        <v>-361</v>
      </c>
    </row>
    <row r="26" customFormat="false" ht="15" hidden="false" customHeight="false" outlineLevel="0" collapsed="false">
      <c r="A26" s="8" t="n">
        <v>4</v>
      </c>
      <c r="B26" s="8" t="s">
        <v>32</v>
      </c>
      <c r="C26" s="8" t="s">
        <v>19</v>
      </c>
      <c r="D26" s="9" t="n">
        <v>0</v>
      </c>
      <c r="E26" s="9" t="n">
        <v>-323</v>
      </c>
      <c r="F26" s="11" t="n">
        <v>323</v>
      </c>
    </row>
    <row r="27" customFormat="false" ht="15" hidden="false" customHeight="false" outlineLevel="0" collapsed="false">
      <c r="A27" s="8" t="n">
        <v>5</v>
      </c>
      <c r="B27" s="8" t="s">
        <v>33</v>
      </c>
      <c r="C27" s="8" t="s">
        <v>17</v>
      </c>
      <c r="D27" s="9" t="n">
        <v>745</v>
      </c>
      <c r="E27" s="9" t="n">
        <v>948</v>
      </c>
      <c r="F27" s="11" t="n">
        <v>-203</v>
      </c>
    </row>
    <row r="28" customFormat="false" ht="15" hidden="false" customHeight="false" outlineLevel="0" collapsed="false">
      <c r="A28" s="8" t="n">
        <v>6</v>
      </c>
      <c r="B28" s="8" t="s">
        <v>33</v>
      </c>
      <c r="C28" s="8" t="s">
        <v>19</v>
      </c>
      <c r="D28" s="9" t="n">
        <v>0</v>
      </c>
      <c r="E28" s="9" t="n">
        <v>-188</v>
      </c>
      <c r="F28" s="11" t="n">
        <v>188</v>
      </c>
    </row>
    <row r="29" customFormat="false" ht="15" hidden="false" customHeight="false" outlineLevel="0" collapsed="false">
      <c r="A29" s="8" t="n">
        <v>7</v>
      </c>
      <c r="B29" s="8" t="s">
        <v>34</v>
      </c>
      <c r="C29" s="8" t="s">
        <v>17</v>
      </c>
      <c r="D29" s="9" t="n">
        <v>566</v>
      </c>
      <c r="E29" s="9" t="n">
        <v>737</v>
      </c>
      <c r="F29" s="11" t="n">
        <v>-171</v>
      </c>
    </row>
    <row r="30" customFormat="false" ht="15" hidden="false" customHeight="false" outlineLevel="0" collapsed="false">
      <c r="A30" s="8" t="n">
        <v>8</v>
      </c>
      <c r="B30" s="8" t="s">
        <v>35</v>
      </c>
      <c r="C30" s="8" t="s">
        <v>17</v>
      </c>
      <c r="D30" s="9" t="n">
        <v>27</v>
      </c>
      <c r="E30" s="9" t="n">
        <v>168</v>
      </c>
      <c r="F30" s="11" t="n">
        <v>-141</v>
      </c>
    </row>
    <row r="31" customFormat="false" ht="15" hidden="false" customHeight="false" outlineLevel="0" collapsed="false">
      <c r="A31" s="8" t="n">
        <v>9</v>
      </c>
      <c r="B31" s="8" t="s">
        <v>36</v>
      </c>
      <c r="C31" s="8" t="s">
        <v>17</v>
      </c>
      <c r="D31" s="9" t="n">
        <v>1169</v>
      </c>
      <c r="E31" s="9" t="n">
        <v>1306</v>
      </c>
      <c r="F31" s="11" t="n">
        <v>-137</v>
      </c>
    </row>
    <row r="32" customFormat="false" ht="15" hidden="false" customHeight="false" outlineLevel="0" collapsed="false">
      <c r="A32" s="8" t="n">
        <v>10</v>
      </c>
      <c r="B32" s="8" t="s">
        <v>37</v>
      </c>
      <c r="C32" s="8" t="s">
        <v>17</v>
      </c>
      <c r="D32" s="9" t="n">
        <v>267</v>
      </c>
      <c r="E32" s="9" t="n">
        <v>400</v>
      </c>
      <c r="F32" s="11" t="n">
        <v>-133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6" min="3" style="0" width="14"/>
  </cols>
  <sheetData>
    <row r="1" customFormat="false" ht="15" hidden="false" customHeight="false" outlineLevel="0" collapsed="false">
      <c r="A1" s="7" t="s">
        <v>26</v>
      </c>
      <c r="B1" s="7" t="s">
        <v>12</v>
      </c>
      <c r="C1" s="7" t="s">
        <v>38</v>
      </c>
      <c r="D1" s="7" t="s">
        <v>28</v>
      </c>
      <c r="E1" s="7" t="s">
        <v>14</v>
      </c>
      <c r="F1" s="7" t="s">
        <v>30</v>
      </c>
    </row>
    <row r="2" customFormat="false" ht="15" hidden="false" customHeight="false" outlineLevel="0" collapsed="false">
      <c r="A2" s="8" t="s">
        <v>31</v>
      </c>
      <c r="B2" s="8" t="s">
        <v>17</v>
      </c>
      <c r="C2" s="9" t="n">
        <v>1</v>
      </c>
      <c r="D2" s="9" t="n">
        <v>2089</v>
      </c>
      <c r="E2" s="9" t="n">
        <v>2748</v>
      </c>
      <c r="F2" s="12" t="n">
        <v>-659</v>
      </c>
    </row>
    <row r="3" customFormat="false" ht="15" hidden="false" customHeight="false" outlineLevel="0" collapsed="false">
      <c r="A3" s="8" t="s">
        <v>31</v>
      </c>
      <c r="B3" s="8" t="s">
        <v>19</v>
      </c>
      <c r="C3" s="9" t="n">
        <v>0</v>
      </c>
      <c r="D3" s="9" t="n">
        <v>0</v>
      </c>
      <c r="E3" s="9" t="n">
        <v>-598</v>
      </c>
      <c r="F3" s="13" t="n">
        <v>598</v>
      </c>
    </row>
    <row r="4" customFormat="false" ht="15" hidden="false" customHeight="false" outlineLevel="0" collapsed="false">
      <c r="A4" s="8" t="s">
        <v>32</v>
      </c>
      <c r="B4" s="8" t="s">
        <v>17</v>
      </c>
      <c r="C4" s="9" t="n">
        <v>1</v>
      </c>
      <c r="D4" s="9" t="n">
        <v>1494</v>
      </c>
      <c r="E4" s="9" t="n">
        <v>1855</v>
      </c>
      <c r="F4" s="12" t="n">
        <v>-361</v>
      </c>
    </row>
    <row r="5" customFormat="false" ht="15" hidden="false" customHeight="false" outlineLevel="0" collapsed="false">
      <c r="A5" s="8" t="s">
        <v>32</v>
      </c>
      <c r="B5" s="8" t="s">
        <v>19</v>
      </c>
      <c r="C5" s="9" t="n">
        <v>0</v>
      </c>
      <c r="D5" s="9" t="n">
        <v>0</v>
      </c>
      <c r="E5" s="9" t="n">
        <v>-323</v>
      </c>
      <c r="F5" s="13" t="n">
        <v>323</v>
      </c>
    </row>
    <row r="6" customFormat="false" ht="15" hidden="false" customHeight="false" outlineLevel="0" collapsed="false">
      <c r="A6" s="8" t="s">
        <v>33</v>
      </c>
      <c r="B6" s="8" t="s">
        <v>17</v>
      </c>
      <c r="C6" s="9" t="n">
        <v>1</v>
      </c>
      <c r="D6" s="9" t="n">
        <v>745</v>
      </c>
      <c r="E6" s="9" t="n">
        <v>948</v>
      </c>
      <c r="F6" s="12" t="n">
        <v>-203</v>
      </c>
    </row>
    <row r="7" customFormat="false" ht="15" hidden="false" customHeight="false" outlineLevel="0" collapsed="false">
      <c r="A7" s="8" t="s">
        <v>33</v>
      </c>
      <c r="B7" s="8" t="s">
        <v>19</v>
      </c>
      <c r="C7" s="9" t="n">
        <v>0</v>
      </c>
      <c r="D7" s="9" t="n">
        <v>0</v>
      </c>
      <c r="E7" s="9" t="n">
        <v>-188</v>
      </c>
      <c r="F7" s="13" t="n">
        <v>188</v>
      </c>
    </row>
    <row r="8" customFormat="false" ht="15" hidden="false" customHeight="false" outlineLevel="0" collapsed="false">
      <c r="A8" s="8" t="s">
        <v>34</v>
      </c>
      <c r="B8" s="8" t="s">
        <v>17</v>
      </c>
      <c r="C8" s="9" t="n">
        <v>85</v>
      </c>
      <c r="D8" s="9" t="n">
        <v>566</v>
      </c>
      <c r="E8" s="9" t="n">
        <v>737</v>
      </c>
      <c r="F8" s="12" t="n">
        <v>-171</v>
      </c>
    </row>
    <row r="9" customFormat="false" ht="15" hidden="false" customHeight="false" outlineLevel="0" collapsed="false">
      <c r="A9" s="8" t="s">
        <v>35</v>
      </c>
      <c r="B9" s="8" t="s">
        <v>17</v>
      </c>
      <c r="C9" s="9" t="n">
        <v>1</v>
      </c>
      <c r="D9" s="9" t="n">
        <v>27</v>
      </c>
      <c r="E9" s="9" t="n">
        <v>168</v>
      </c>
      <c r="F9" s="12" t="n">
        <v>-141</v>
      </c>
    </row>
    <row r="10" customFormat="false" ht="15" hidden="false" customHeight="false" outlineLevel="0" collapsed="false">
      <c r="A10" s="8" t="s">
        <v>36</v>
      </c>
      <c r="B10" s="8" t="s">
        <v>17</v>
      </c>
      <c r="C10" s="9" t="n">
        <v>1</v>
      </c>
      <c r="D10" s="9" t="n">
        <v>1169</v>
      </c>
      <c r="E10" s="9" t="n">
        <v>1306</v>
      </c>
      <c r="F10" s="12" t="n">
        <v>-137</v>
      </c>
    </row>
    <row r="11" customFormat="false" ht="15" hidden="false" customHeight="false" outlineLevel="0" collapsed="false">
      <c r="A11" s="8" t="s">
        <v>37</v>
      </c>
      <c r="B11" s="8" t="s">
        <v>17</v>
      </c>
      <c r="C11" s="9" t="n">
        <v>85</v>
      </c>
      <c r="D11" s="9" t="n">
        <v>267</v>
      </c>
      <c r="E11" s="9" t="n">
        <v>400</v>
      </c>
      <c r="F11" s="12" t="n">
        <v>-133</v>
      </c>
    </row>
    <row r="12" customFormat="false" ht="15" hidden="false" customHeight="false" outlineLevel="0" collapsed="false">
      <c r="A12" s="8" t="s">
        <v>36</v>
      </c>
      <c r="B12" s="8" t="s">
        <v>19</v>
      </c>
      <c r="C12" s="9" t="n">
        <v>0</v>
      </c>
      <c r="D12" s="9" t="n">
        <v>0</v>
      </c>
      <c r="E12" s="9" t="n">
        <v>-131</v>
      </c>
      <c r="F12" s="13" t="n">
        <v>131</v>
      </c>
    </row>
    <row r="13" customFormat="false" ht="15" hidden="false" customHeight="false" outlineLevel="0" collapsed="false">
      <c r="A13" s="8" t="s">
        <v>35</v>
      </c>
      <c r="B13" s="8" t="s">
        <v>19</v>
      </c>
      <c r="C13" s="9" t="n">
        <v>0</v>
      </c>
      <c r="D13" s="9" t="n">
        <v>0</v>
      </c>
      <c r="E13" s="9" t="n">
        <v>-129</v>
      </c>
      <c r="F13" s="13" t="n">
        <v>129</v>
      </c>
    </row>
    <row r="14" customFormat="false" ht="15" hidden="false" customHeight="false" outlineLevel="0" collapsed="false">
      <c r="A14" s="8" t="s">
        <v>34</v>
      </c>
      <c r="B14" s="8" t="s">
        <v>21</v>
      </c>
      <c r="C14" s="9" t="n">
        <v>6</v>
      </c>
      <c r="D14" s="9" t="n">
        <v>142</v>
      </c>
      <c r="E14" s="9" t="n">
        <v>21</v>
      </c>
      <c r="F14" s="13" t="n">
        <v>121</v>
      </c>
    </row>
    <row r="15" customFormat="false" ht="15" hidden="false" customHeight="false" outlineLevel="0" collapsed="false">
      <c r="A15" s="8" t="s">
        <v>39</v>
      </c>
      <c r="B15" s="8" t="s">
        <v>17</v>
      </c>
      <c r="C15" s="9" t="n">
        <v>54</v>
      </c>
      <c r="D15" s="9" t="n">
        <v>186</v>
      </c>
      <c r="E15" s="9" t="n">
        <v>305</v>
      </c>
      <c r="F15" s="12" t="n">
        <v>-119</v>
      </c>
    </row>
    <row r="16" customFormat="false" ht="15" hidden="false" customHeight="false" outlineLevel="0" collapsed="false">
      <c r="A16" s="8" t="s">
        <v>40</v>
      </c>
      <c r="B16" s="8" t="s">
        <v>17</v>
      </c>
      <c r="C16" s="9" t="n">
        <v>1</v>
      </c>
      <c r="D16" s="9" t="n">
        <v>470</v>
      </c>
      <c r="E16" s="9" t="n">
        <v>580</v>
      </c>
      <c r="F16" s="12" t="n">
        <v>-110</v>
      </c>
    </row>
    <row r="17" customFormat="false" ht="15" hidden="false" customHeight="false" outlineLevel="0" collapsed="false">
      <c r="A17" s="8" t="s">
        <v>40</v>
      </c>
      <c r="B17" s="8" t="s">
        <v>19</v>
      </c>
      <c r="C17" s="9" t="n">
        <v>0</v>
      </c>
      <c r="D17" s="9" t="n">
        <v>0</v>
      </c>
      <c r="E17" s="9" t="n">
        <v>-97</v>
      </c>
      <c r="F17" s="13" t="n">
        <v>97</v>
      </c>
    </row>
    <row r="18" customFormat="false" ht="15" hidden="false" customHeight="false" outlineLevel="0" collapsed="false">
      <c r="A18" s="8" t="s">
        <v>37</v>
      </c>
      <c r="B18" s="8" t="s">
        <v>21</v>
      </c>
      <c r="C18" s="9" t="n">
        <v>3</v>
      </c>
      <c r="D18" s="9" t="n">
        <v>101</v>
      </c>
      <c r="E18" s="9" t="n">
        <v>5</v>
      </c>
      <c r="F18" s="13" t="n">
        <v>96</v>
      </c>
    </row>
    <row r="19" customFormat="false" ht="15" hidden="false" customHeight="false" outlineLevel="0" collapsed="false">
      <c r="A19" s="8" t="s">
        <v>41</v>
      </c>
      <c r="B19" s="8" t="s">
        <v>17</v>
      </c>
      <c r="C19" s="9" t="n">
        <v>51</v>
      </c>
      <c r="D19" s="9" t="n">
        <v>119.5</v>
      </c>
      <c r="E19" s="9" t="n">
        <v>207</v>
      </c>
      <c r="F19" s="12" t="n">
        <v>-87.5</v>
      </c>
    </row>
    <row r="20" customFormat="false" ht="15" hidden="false" customHeight="false" outlineLevel="0" collapsed="false">
      <c r="A20" s="8" t="s">
        <v>42</v>
      </c>
      <c r="B20" s="8" t="s">
        <v>17</v>
      </c>
      <c r="C20" s="9" t="n">
        <v>1</v>
      </c>
      <c r="D20" s="9" t="n">
        <v>17</v>
      </c>
      <c r="E20" s="9" t="n">
        <v>104</v>
      </c>
      <c r="F20" s="12" t="n">
        <v>-87</v>
      </c>
    </row>
    <row r="21" customFormat="false" ht="15" hidden="false" customHeight="false" outlineLevel="0" collapsed="false">
      <c r="A21" s="8" t="s">
        <v>42</v>
      </c>
      <c r="B21" s="8" t="s">
        <v>19</v>
      </c>
      <c r="C21" s="9" t="n">
        <v>0</v>
      </c>
      <c r="D21" s="9" t="n">
        <v>0</v>
      </c>
      <c r="E21" s="9" t="n">
        <v>-83</v>
      </c>
      <c r="F21" s="13" t="n">
        <v>83</v>
      </c>
    </row>
    <row r="22" customFormat="false" ht="15" hidden="false" customHeight="false" outlineLevel="0" collapsed="false">
      <c r="A22" s="8" t="s">
        <v>43</v>
      </c>
      <c r="B22" s="8" t="s">
        <v>17</v>
      </c>
      <c r="C22" s="9" t="n">
        <v>47</v>
      </c>
      <c r="D22" s="9" t="n">
        <v>101</v>
      </c>
      <c r="E22" s="9" t="n">
        <v>168</v>
      </c>
      <c r="F22" s="12" t="n">
        <v>-67</v>
      </c>
    </row>
    <row r="23" customFormat="false" ht="15" hidden="false" customHeight="false" outlineLevel="0" collapsed="false">
      <c r="A23" s="8" t="s">
        <v>39</v>
      </c>
      <c r="B23" s="8" t="s">
        <v>19</v>
      </c>
      <c r="C23" s="9" t="n">
        <v>16</v>
      </c>
      <c r="D23" s="9" t="n">
        <v>64</v>
      </c>
      <c r="E23" s="9" t="n">
        <v>0</v>
      </c>
      <c r="F23" s="13" t="n">
        <v>64</v>
      </c>
    </row>
    <row r="24" customFormat="false" ht="15" hidden="false" customHeight="false" outlineLevel="0" collapsed="false">
      <c r="A24" s="8" t="s">
        <v>43</v>
      </c>
      <c r="B24" s="8" t="s">
        <v>19</v>
      </c>
      <c r="C24" s="9" t="n">
        <v>24</v>
      </c>
      <c r="D24" s="9" t="n">
        <v>64</v>
      </c>
      <c r="E24" s="9" t="n">
        <v>0</v>
      </c>
      <c r="F24" s="13" t="n">
        <v>64</v>
      </c>
    </row>
    <row r="25" customFormat="false" ht="15" hidden="false" customHeight="false" outlineLevel="0" collapsed="false">
      <c r="A25" s="8" t="s">
        <v>31</v>
      </c>
      <c r="B25" s="8" t="s">
        <v>21</v>
      </c>
      <c r="C25" s="9" t="n">
        <v>0</v>
      </c>
      <c r="D25" s="9" t="n">
        <v>0</v>
      </c>
      <c r="E25" s="9" t="n">
        <v>-60</v>
      </c>
      <c r="F25" s="13" t="n">
        <v>60</v>
      </c>
    </row>
    <row r="26" customFormat="false" ht="15" hidden="false" customHeight="false" outlineLevel="0" collapsed="false">
      <c r="A26" s="8" t="s">
        <v>44</v>
      </c>
      <c r="B26" s="8" t="s">
        <v>17</v>
      </c>
      <c r="C26" s="9" t="n">
        <v>1</v>
      </c>
      <c r="D26" s="9" t="n">
        <v>2026</v>
      </c>
      <c r="E26" s="9" t="n">
        <v>2083</v>
      </c>
      <c r="F26" s="12" t="n">
        <v>-57</v>
      </c>
    </row>
    <row r="27" customFormat="false" ht="15" hidden="false" customHeight="false" outlineLevel="0" collapsed="false">
      <c r="A27" s="8" t="s">
        <v>45</v>
      </c>
      <c r="B27" s="8" t="s">
        <v>17</v>
      </c>
      <c r="C27" s="9" t="n">
        <v>69</v>
      </c>
      <c r="D27" s="9" t="n">
        <v>110</v>
      </c>
      <c r="E27" s="9" t="n">
        <v>165</v>
      </c>
      <c r="F27" s="12" t="n">
        <v>-55</v>
      </c>
    </row>
    <row r="28" customFormat="false" ht="15" hidden="false" customHeight="false" outlineLevel="0" collapsed="false">
      <c r="A28" s="8" t="s">
        <v>44</v>
      </c>
      <c r="B28" s="8" t="s">
        <v>19</v>
      </c>
      <c r="C28" s="9" t="n">
        <v>0</v>
      </c>
      <c r="D28" s="9" t="n">
        <v>0</v>
      </c>
      <c r="E28" s="9" t="n">
        <v>-54</v>
      </c>
      <c r="F28" s="13" t="n">
        <v>54</v>
      </c>
    </row>
    <row r="29" customFormat="false" ht="15" hidden="false" customHeight="false" outlineLevel="0" collapsed="false">
      <c r="A29" s="8" t="s">
        <v>46</v>
      </c>
      <c r="B29" s="8" t="s">
        <v>17</v>
      </c>
      <c r="C29" s="9" t="n">
        <v>1</v>
      </c>
      <c r="D29" s="9" t="n">
        <v>1939</v>
      </c>
      <c r="E29" s="9" t="n">
        <v>1991</v>
      </c>
      <c r="F29" s="12" t="n">
        <v>-52</v>
      </c>
    </row>
    <row r="30" customFormat="false" ht="15" hidden="false" customHeight="false" outlineLevel="0" collapsed="false">
      <c r="A30" s="8" t="s">
        <v>41</v>
      </c>
      <c r="B30" s="8" t="s">
        <v>21</v>
      </c>
      <c r="C30" s="9" t="n">
        <v>9</v>
      </c>
      <c r="D30" s="9" t="n">
        <v>56.5</v>
      </c>
      <c r="E30" s="9" t="n">
        <v>5</v>
      </c>
      <c r="F30" s="13" t="n">
        <v>51.5</v>
      </c>
    </row>
    <row r="31" customFormat="false" ht="15" hidden="false" customHeight="false" outlineLevel="0" collapsed="false">
      <c r="A31" s="8" t="s">
        <v>39</v>
      </c>
      <c r="B31" s="8" t="s">
        <v>21</v>
      </c>
      <c r="C31" s="9" t="n">
        <v>6</v>
      </c>
      <c r="D31" s="9" t="n">
        <v>70</v>
      </c>
      <c r="E31" s="9" t="n">
        <v>19</v>
      </c>
      <c r="F31" s="13" t="n">
        <v>51</v>
      </c>
    </row>
    <row r="32" customFormat="false" ht="15" hidden="false" customHeight="false" outlineLevel="0" collapsed="false">
      <c r="A32" s="8" t="s">
        <v>47</v>
      </c>
      <c r="B32" s="8" t="s">
        <v>17</v>
      </c>
      <c r="C32" s="9" t="n">
        <v>1</v>
      </c>
      <c r="D32" s="9" t="n">
        <v>1479</v>
      </c>
      <c r="E32" s="9" t="n">
        <v>1529</v>
      </c>
      <c r="F32" s="12" t="n">
        <v>-50</v>
      </c>
    </row>
    <row r="33" customFormat="false" ht="15" hidden="false" customHeight="false" outlineLevel="0" collapsed="false">
      <c r="A33" s="8" t="s">
        <v>34</v>
      </c>
      <c r="B33" s="8" t="s">
        <v>19</v>
      </c>
      <c r="C33" s="9" t="n">
        <v>3</v>
      </c>
      <c r="D33" s="9" t="n">
        <v>50</v>
      </c>
      <c r="E33" s="9" t="n">
        <v>0</v>
      </c>
      <c r="F33" s="13" t="n">
        <v>50</v>
      </c>
    </row>
    <row r="34" customFormat="false" ht="15" hidden="false" customHeight="false" outlineLevel="0" collapsed="false">
      <c r="A34" s="8" t="s">
        <v>46</v>
      </c>
      <c r="B34" s="8" t="s">
        <v>19</v>
      </c>
      <c r="C34" s="9" t="n">
        <v>0</v>
      </c>
      <c r="D34" s="9" t="n">
        <v>0</v>
      </c>
      <c r="E34" s="9" t="n">
        <v>-50</v>
      </c>
      <c r="F34" s="13" t="n">
        <v>50</v>
      </c>
    </row>
    <row r="35" customFormat="false" ht="15" hidden="false" customHeight="false" outlineLevel="0" collapsed="false">
      <c r="A35" s="8" t="s">
        <v>47</v>
      </c>
      <c r="B35" s="8" t="s">
        <v>19</v>
      </c>
      <c r="C35" s="9" t="n">
        <v>0</v>
      </c>
      <c r="D35" s="9" t="n">
        <v>0</v>
      </c>
      <c r="E35" s="9" t="n">
        <v>-47</v>
      </c>
      <c r="F35" s="13" t="n">
        <v>47</v>
      </c>
    </row>
    <row r="36" customFormat="false" ht="15" hidden="false" customHeight="false" outlineLevel="0" collapsed="false">
      <c r="A36" s="8" t="s">
        <v>45</v>
      </c>
      <c r="B36" s="8" t="s">
        <v>21</v>
      </c>
      <c r="C36" s="9" t="n">
        <v>5</v>
      </c>
      <c r="D36" s="9" t="n">
        <v>40</v>
      </c>
      <c r="E36" s="9" t="n">
        <v>0</v>
      </c>
      <c r="F36" s="13" t="n">
        <v>40</v>
      </c>
    </row>
    <row r="37" customFormat="false" ht="15" hidden="false" customHeight="false" outlineLevel="0" collapsed="false">
      <c r="A37" s="8" t="s">
        <v>37</v>
      </c>
      <c r="B37" s="8" t="s">
        <v>19</v>
      </c>
      <c r="C37" s="9" t="n">
        <v>6</v>
      </c>
      <c r="D37" s="9" t="n">
        <v>37</v>
      </c>
      <c r="E37" s="9" t="n">
        <v>-2</v>
      </c>
      <c r="F37" s="13" t="n">
        <v>39</v>
      </c>
    </row>
    <row r="38" customFormat="false" ht="15" hidden="false" customHeight="false" outlineLevel="0" collapsed="false">
      <c r="A38" s="8" t="s">
        <v>32</v>
      </c>
      <c r="B38" s="8" t="s">
        <v>21</v>
      </c>
      <c r="C38" s="9" t="n">
        <v>0</v>
      </c>
      <c r="D38" s="9" t="n">
        <v>0</v>
      </c>
      <c r="E38" s="9" t="n">
        <v>-37</v>
      </c>
      <c r="F38" s="13" t="n">
        <v>37</v>
      </c>
    </row>
    <row r="39" customFormat="false" ht="15" hidden="false" customHeight="false" outlineLevel="0" collapsed="false">
      <c r="A39" s="8" t="s">
        <v>41</v>
      </c>
      <c r="B39" s="8" t="s">
        <v>19</v>
      </c>
      <c r="C39" s="9" t="n">
        <v>11</v>
      </c>
      <c r="D39" s="9" t="n">
        <v>35</v>
      </c>
      <c r="E39" s="9" t="n">
        <v>-1</v>
      </c>
      <c r="F39" s="13" t="n">
        <v>36</v>
      </c>
    </row>
    <row r="40" customFormat="false" ht="15" hidden="false" customHeight="false" outlineLevel="0" collapsed="false">
      <c r="A40" s="8" t="s">
        <v>48</v>
      </c>
      <c r="B40" s="8" t="s">
        <v>17</v>
      </c>
      <c r="C40" s="9" t="n">
        <v>17</v>
      </c>
      <c r="D40" s="9" t="n">
        <v>69</v>
      </c>
      <c r="E40" s="9" t="n">
        <v>105</v>
      </c>
      <c r="F40" s="12" t="n">
        <v>-36</v>
      </c>
    </row>
    <row r="41" customFormat="false" ht="15" hidden="false" customHeight="false" outlineLevel="0" collapsed="false">
      <c r="A41" s="8" t="s">
        <v>45</v>
      </c>
      <c r="B41" s="8" t="s">
        <v>19</v>
      </c>
      <c r="C41" s="9" t="n">
        <v>15</v>
      </c>
      <c r="D41" s="9" t="n">
        <v>31</v>
      </c>
      <c r="E41" s="9" t="n">
        <v>0</v>
      </c>
      <c r="F41" s="13" t="n">
        <v>31</v>
      </c>
    </row>
    <row r="42" customFormat="false" ht="15" hidden="false" customHeight="false" outlineLevel="0" collapsed="false">
      <c r="A42" s="8" t="s">
        <v>48</v>
      </c>
      <c r="B42" s="8" t="s">
        <v>21</v>
      </c>
      <c r="C42" s="9" t="n">
        <v>3</v>
      </c>
      <c r="D42" s="9" t="n">
        <v>33</v>
      </c>
      <c r="E42" s="9" t="n">
        <v>3</v>
      </c>
      <c r="F42" s="13" t="n">
        <v>30</v>
      </c>
    </row>
    <row r="43" customFormat="false" ht="15" hidden="false" customHeight="false" outlineLevel="0" collapsed="false">
      <c r="A43" s="8" t="s">
        <v>49</v>
      </c>
      <c r="B43" s="8" t="s">
        <v>19</v>
      </c>
      <c r="C43" s="9" t="n">
        <v>3</v>
      </c>
      <c r="D43" s="9" t="n">
        <v>21.5</v>
      </c>
      <c r="E43" s="9" t="n">
        <v>0</v>
      </c>
      <c r="F43" s="13" t="n">
        <v>21.5</v>
      </c>
    </row>
    <row r="44" customFormat="false" ht="15" hidden="false" customHeight="false" outlineLevel="0" collapsed="false">
      <c r="A44" s="8" t="s">
        <v>49</v>
      </c>
      <c r="B44" s="8" t="s">
        <v>17</v>
      </c>
      <c r="C44" s="9" t="n">
        <v>2</v>
      </c>
      <c r="D44" s="9" t="n">
        <v>2</v>
      </c>
      <c r="E44" s="9" t="n">
        <v>19</v>
      </c>
      <c r="F44" s="12" t="n">
        <v>-17</v>
      </c>
    </row>
    <row r="45" customFormat="false" ht="15" hidden="false" customHeight="false" outlineLevel="0" collapsed="false">
      <c r="A45" s="8" t="s">
        <v>33</v>
      </c>
      <c r="B45" s="8" t="s">
        <v>21</v>
      </c>
      <c r="C45" s="9" t="n">
        <v>0</v>
      </c>
      <c r="D45" s="9" t="n">
        <v>0</v>
      </c>
      <c r="E45" s="9" t="n">
        <v>-15</v>
      </c>
      <c r="F45" s="13" t="n">
        <v>15</v>
      </c>
    </row>
    <row r="46" customFormat="false" ht="15" hidden="false" customHeight="false" outlineLevel="0" collapsed="false">
      <c r="A46" s="8" t="s">
        <v>40</v>
      </c>
      <c r="B46" s="8" t="s">
        <v>21</v>
      </c>
      <c r="C46" s="9" t="n">
        <v>0</v>
      </c>
      <c r="D46" s="9" t="n">
        <v>0</v>
      </c>
      <c r="E46" s="9" t="n">
        <v>-13</v>
      </c>
      <c r="F46" s="13" t="n">
        <v>13</v>
      </c>
    </row>
    <row r="47" customFormat="false" ht="15" hidden="false" customHeight="false" outlineLevel="0" collapsed="false">
      <c r="A47" s="8" t="s">
        <v>48</v>
      </c>
      <c r="B47" s="8" t="s">
        <v>19</v>
      </c>
      <c r="C47" s="9" t="n">
        <v>11</v>
      </c>
      <c r="D47" s="9" t="n">
        <v>13</v>
      </c>
      <c r="E47" s="9" t="n">
        <v>0</v>
      </c>
      <c r="F47" s="13" t="n">
        <v>13</v>
      </c>
    </row>
    <row r="48" customFormat="false" ht="15" hidden="false" customHeight="false" outlineLevel="0" collapsed="false">
      <c r="A48" s="8" t="s">
        <v>50</v>
      </c>
      <c r="B48" s="8" t="s">
        <v>19</v>
      </c>
      <c r="C48" s="9" t="n">
        <v>6</v>
      </c>
      <c r="D48" s="9" t="n">
        <v>13</v>
      </c>
      <c r="E48" s="9" t="n">
        <v>0</v>
      </c>
      <c r="F48" s="13" t="n">
        <v>13</v>
      </c>
    </row>
    <row r="49" customFormat="false" ht="15" hidden="false" customHeight="false" outlineLevel="0" collapsed="false">
      <c r="A49" s="8" t="s">
        <v>35</v>
      </c>
      <c r="B49" s="8" t="s">
        <v>21</v>
      </c>
      <c r="C49" s="9" t="n">
        <v>0</v>
      </c>
      <c r="D49" s="9" t="n">
        <v>0</v>
      </c>
      <c r="E49" s="9" t="n">
        <v>-12</v>
      </c>
      <c r="F49" s="13" t="n">
        <v>12</v>
      </c>
    </row>
    <row r="50" customFormat="false" ht="15" hidden="false" customHeight="false" outlineLevel="0" collapsed="false">
      <c r="A50" s="8" t="s">
        <v>51</v>
      </c>
      <c r="B50" s="8" t="s">
        <v>19</v>
      </c>
      <c r="C50" s="9" t="n">
        <v>4</v>
      </c>
      <c r="D50" s="9" t="n">
        <v>11</v>
      </c>
      <c r="E50" s="9" t="n">
        <v>0</v>
      </c>
      <c r="F50" s="13" t="n">
        <v>11</v>
      </c>
    </row>
    <row r="51" customFormat="false" ht="15" hidden="false" customHeight="false" outlineLevel="0" collapsed="false">
      <c r="A51" s="8" t="s">
        <v>52</v>
      </c>
      <c r="B51" s="8" t="s">
        <v>53</v>
      </c>
      <c r="C51" s="9" t="n">
        <v>0</v>
      </c>
      <c r="D51" s="9" t="n">
        <v>0</v>
      </c>
      <c r="E51" s="9" t="n">
        <v>8</v>
      </c>
      <c r="F51" s="12" t="n">
        <v>-8</v>
      </c>
    </row>
    <row r="52" customFormat="false" ht="15" hidden="false" customHeight="false" outlineLevel="0" collapsed="false">
      <c r="A52" s="8" t="s">
        <v>54</v>
      </c>
      <c r="B52" s="8" t="s">
        <v>53</v>
      </c>
      <c r="C52" s="9" t="n">
        <v>0</v>
      </c>
      <c r="D52" s="9" t="n">
        <v>0</v>
      </c>
      <c r="E52" s="9" t="n">
        <v>8</v>
      </c>
      <c r="F52" s="12" t="n">
        <v>-8</v>
      </c>
    </row>
    <row r="53" customFormat="false" ht="15" hidden="false" customHeight="false" outlineLevel="0" collapsed="false">
      <c r="A53" s="8" t="s">
        <v>55</v>
      </c>
      <c r="B53" s="8" t="s">
        <v>19</v>
      </c>
      <c r="C53" s="9" t="n">
        <v>4</v>
      </c>
      <c r="D53" s="9" t="n">
        <v>8</v>
      </c>
      <c r="E53" s="9" t="n">
        <v>0</v>
      </c>
      <c r="F53" s="13" t="n">
        <v>8</v>
      </c>
    </row>
    <row r="54" customFormat="false" ht="15" hidden="false" customHeight="false" outlineLevel="0" collapsed="false">
      <c r="A54" s="8" t="s">
        <v>50</v>
      </c>
      <c r="B54" s="8" t="s">
        <v>21</v>
      </c>
      <c r="C54" s="9" t="n">
        <v>2</v>
      </c>
      <c r="D54" s="9" t="n">
        <v>1</v>
      </c>
      <c r="E54" s="9" t="n">
        <v>9</v>
      </c>
      <c r="F54" s="12" t="n">
        <v>-8</v>
      </c>
    </row>
    <row r="55" customFormat="false" ht="15" hidden="false" customHeight="false" outlineLevel="0" collapsed="false">
      <c r="A55" s="8" t="s">
        <v>56</v>
      </c>
      <c r="B55" s="8" t="s">
        <v>19</v>
      </c>
      <c r="C55" s="9" t="n">
        <v>0</v>
      </c>
      <c r="D55" s="9" t="n">
        <v>0</v>
      </c>
      <c r="E55" s="9" t="n">
        <v>-7</v>
      </c>
      <c r="F55" s="13" t="n">
        <v>7</v>
      </c>
    </row>
    <row r="56" customFormat="false" ht="15" hidden="false" customHeight="false" outlineLevel="0" collapsed="false">
      <c r="A56" s="8" t="s">
        <v>57</v>
      </c>
      <c r="B56" s="8" t="s">
        <v>19</v>
      </c>
      <c r="C56" s="9" t="n">
        <v>2</v>
      </c>
      <c r="D56" s="9" t="n">
        <v>7</v>
      </c>
      <c r="E56" s="9" t="n">
        <v>0</v>
      </c>
      <c r="F56" s="13" t="n">
        <v>7</v>
      </c>
    </row>
    <row r="57" customFormat="false" ht="15" hidden="false" customHeight="false" outlineLevel="0" collapsed="false">
      <c r="A57" s="8" t="s">
        <v>56</v>
      </c>
      <c r="B57" s="8" t="s">
        <v>17</v>
      </c>
      <c r="C57" s="9" t="n">
        <v>1</v>
      </c>
      <c r="D57" s="9" t="n">
        <v>793</v>
      </c>
      <c r="E57" s="9" t="n">
        <v>800</v>
      </c>
      <c r="F57" s="12" t="n">
        <v>-7</v>
      </c>
    </row>
    <row r="58" customFormat="false" ht="15" hidden="false" customHeight="false" outlineLevel="0" collapsed="false">
      <c r="A58" s="8" t="s">
        <v>51</v>
      </c>
      <c r="B58" s="8" t="s">
        <v>53</v>
      </c>
      <c r="C58" s="9" t="n">
        <v>0</v>
      </c>
      <c r="D58" s="9" t="n">
        <v>0</v>
      </c>
      <c r="E58" s="9" t="n">
        <v>6</v>
      </c>
      <c r="F58" s="12" t="n">
        <v>-6</v>
      </c>
    </row>
    <row r="59" customFormat="false" ht="15" hidden="false" customHeight="false" outlineLevel="0" collapsed="false">
      <c r="A59" s="8" t="s">
        <v>58</v>
      </c>
      <c r="B59" s="8" t="s">
        <v>17</v>
      </c>
      <c r="C59" s="9" t="n">
        <v>1</v>
      </c>
      <c r="D59" s="9" t="n">
        <v>514</v>
      </c>
      <c r="E59" s="9" t="n">
        <v>520</v>
      </c>
      <c r="F59" s="12" t="n">
        <v>-6</v>
      </c>
    </row>
    <row r="60" customFormat="false" ht="15" hidden="false" customHeight="false" outlineLevel="0" collapsed="false">
      <c r="A60" s="8" t="s">
        <v>59</v>
      </c>
      <c r="B60" s="8" t="s">
        <v>19</v>
      </c>
      <c r="C60" s="9" t="n">
        <v>3</v>
      </c>
      <c r="D60" s="9" t="n">
        <v>6</v>
      </c>
      <c r="E60" s="9" t="n">
        <v>0</v>
      </c>
      <c r="F60" s="13" t="n">
        <v>6</v>
      </c>
    </row>
    <row r="61" customFormat="false" ht="15" hidden="false" customHeight="false" outlineLevel="0" collapsed="false">
      <c r="A61" s="8" t="s">
        <v>57</v>
      </c>
      <c r="B61" s="8" t="s">
        <v>17</v>
      </c>
      <c r="C61" s="9" t="n">
        <v>7</v>
      </c>
      <c r="D61" s="9" t="n">
        <v>8</v>
      </c>
      <c r="E61" s="9" t="n">
        <v>14</v>
      </c>
      <c r="F61" s="12" t="n">
        <v>-6</v>
      </c>
    </row>
    <row r="62" customFormat="false" ht="15" hidden="false" customHeight="false" outlineLevel="0" collapsed="false">
      <c r="A62" s="8" t="s">
        <v>58</v>
      </c>
      <c r="B62" s="8" t="s">
        <v>19</v>
      </c>
      <c r="C62" s="9" t="n">
        <v>0</v>
      </c>
      <c r="D62" s="9" t="n">
        <v>0</v>
      </c>
      <c r="E62" s="9" t="n">
        <v>-6</v>
      </c>
      <c r="F62" s="13" t="n">
        <v>6</v>
      </c>
    </row>
    <row r="63" customFormat="false" ht="15" hidden="false" customHeight="false" outlineLevel="0" collapsed="false">
      <c r="A63" s="8" t="s">
        <v>60</v>
      </c>
      <c r="B63" s="8" t="s">
        <v>17</v>
      </c>
      <c r="C63" s="9" t="n">
        <v>1</v>
      </c>
      <c r="D63" s="9" t="n">
        <v>680</v>
      </c>
      <c r="E63" s="9" t="n">
        <v>686</v>
      </c>
      <c r="F63" s="12" t="n">
        <v>-6</v>
      </c>
    </row>
    <row r="64" customFormat="false" ht="15" hidden="false" customHeight="false" outlineLevel="0" collapsed="false">
      <c r="A64" s="8" t="s">
        <v>55</v>
      </c>
      <c r="B64" s="8" t="s">
        <v>17</v>
      </c>
      <c r="C64" s="9" t="n">
        <v>4</v>
      </c>
      <c r="D64" s="9" t="n">
        <v>94</v>
      </c>
      <c r="E64" s="9" t="n">
        <v>100</v>
      </c>
      <c r="F64" s="12" t="n">
        <v>-6</v>
      </c>
    </row>
    <row r="65" customFormat="false" ht="15" hidden="false" customHeight="false" outlineLevel="0" collapsed="false">
      <c r="A65" s="8" t="s">
        <v>36</v>
      </c>
      <c r="B65" s="8" t="s">
        <v>21</v>
      </c>
      <c r="C65" s="9" t="n">
        <v>0</v>
      </c>
      <c r="D65" s="9" t="n">
        <v>0</v>
      </c>
      <c r="E65" s="9" t="n">
        <v>-6</v>
      </c>
      <c r="F65" s="13" t="n">
        <v>6</v>
      </c>
    </row>
    <row r="66" customFormat="false" ht="15" hidden="false" customHeight="false" outlineLevel="0" collapsed="false">
      <c r="A66" s="8" t="s">
        <v>49</v>
      </c>
      <c r="B66" s="8" t="s">
        <v>21</v>
      </c>
      <c r="C66" s="9" t="n">
        <v>1</v>
      </c>
      <c r="D66" s="9" t="n">
        <v>-0.5</v>
      </c>
      <c r="E66" s="9" t="n">
        <v>5</v>
      </c>
      <c r="F66" s="12" t="n">
        <v>-5.5</v>
      </c>
    </row>
    <row r="67" customFormat="false" ht="15" hidden="false" customHeight="false" outlineLevel="0" collapsed="false">
      <c r="A67" s="8" t="s">
        <v>59</v>
      </c>
      <c r="B67" s="8" t="s">
        <v>17</v>
      </c>
      <c r="C67" s="9" t="n">
        <v>6</v>
      </c>
      <c r="D67" s="9" t="n">
        <v>15</v>
      </c>
      <c r="E67" s="9" t="n">
        <v>20</v>
      </c>
      <c r="F67" s="12" t="n">
        <v>-5</v>
      </c>
    </row>
    <row r="68" customFormat="false" ht="15" hidden="false" customHeight="false" outlineLevel="0" collapsed="false">
      <c r="A68" s="8" t="s">
        <v>52</v>
      </c>
      <c r="B68" s="8" t="s">
        <v>19</v>
      </c>
      <c r="C68" s="9" t="n">
        <v>2</v>
      </c>
      <c r="D68" s="9" t="n">
        <v>5</v>
      </c>
      <c r="E68" s="9" t="n">
        <v>0</v>
      </c>
      <c r="F68" s="13" t="n">
        <v>5</v>
      </c>
    </row>
    <row r="69" customFormat="false" ht="15" hidden="false" customHeight="false" outlineLevel="0" collapsed="false">
      <c r="A69" s="8" t="s">
        <v>60</v>
      </c>
      <c r="B69" s="8" t="s">
        <v>19</v>
      </c>
      <c r="C69" s="9" t="n">
        <v>0</v>
      </c>
      <c r="D69" s="9" t="n">
        <v>0</v>
      </c>
      <c r="E69" s="9" t="n">
        <v>-5</v>
      </c>
      <c r="F69" s="13" t="n">
        <v>5</v>
      </c>
    </row>
    <row r="70" customFormat="false" ht="15" hidden="false" customHeight="false" outlineLevel="0" collapsed="false">
      <c r="A70" s="8" t="s">
        <v>51</v>
      </c>
      <c r="B70" s="8" t="s">
        <v>21</v>
      </c>
      <c r="C70" s="9" t="n">
        <v>0</v>
      </c>
      <c r="D70" s="9" t="n">
        <v>0</v>
      </c>
      <c r="E70" s="9" t="n">
        <v>4</v>
      </c>
      <c r="F70" s="12" t="n">
        <v>-4</v>
      </c>
    </row>
    <row r="71" customFormat="false" ht="15" hidden="false" customHeight="false" outlineLevel="0" collapsed="false">
      <c r="A71" s="8" t="s">
        <v>61</v>
      </c>
      <c r="B71" s="8" t="s">
        <v>17</v>
      </c>
      <c r="C71" s="9" t="n">
        <v>3</v>
      </c>
      <c r="D71" s="9" t="n">
        <v>4</v>
      </c>
      <c r="E71" s="9" t="n">
        <v>0</v>
      </c>
      <c r="F71" s="13" t="n">
        <v>4</v>
      </c>
    </row>
    <row r="72" customFormat="false" ht="15" hidden="false" customHeight="false" outlineLevel="0" collapsed="false">
      <c r="A72" s="8" t="s">
        <v>62</v>
      </c>
      <c r="B72" s="8" t="s">
        <v>17</v>
      </c>
      <c r="C72" s="9" t="n">
        <v>17</v>
      </c>
      <c r="D72" s="9" t="n">
        <v>102</v>
      </c>
      <c r="E72" s="9" t="n">
        <v>106</v>
      </c>
      <c r="F72" s="12" t="n">
        <v>-4</v>
      </c>
    </row>
    <row r="73" customFormat="false" ht="15" hidden="false" customHeight="false" outlineLevel="0" collapsed="false">
      <c r="A73" s="8" t="s">
        <v>63</v>
      </c>
      <c r="B73" s="8" t="s">
        <v>53</v>
      </c>
      <c r="C73" s="9" t="n">
        <v>0</v>
      </c>
      <c r="D73" s="9" t="n">
        <v>0</v>
      </c>
      <c r="E73" s="9" t="n">
        <v>4</v>
      </c>
      <c r="F73" s="12" t="n">
        <v>-4</v>
      </c>
    </row>
    <row r="74" customFormat="false" ht="15" hidden="false" customHeight="false" outlineLevel="0" collapsed="false">
      <c r="A74" s="8" t="s">
        <v>61</v>
      </c>
      <c r="B74" s="8" t="s">
        <v>53</v>
      </c>
      <c r="C74" s="9" t="n">
        <v>0</v>
      </c>
      <c r="D74" s="9" t="n">
        <v>0</v>
      </c>
      <c r="E74" s="9" t="n">
        <v>4</v>
      </c>
      <c r="F74" s="12" t="n">
        <v>-4</v>
      </c>
    </row>
    <row r="75" customFormat="false" ht="15" hidden="false" customHeight="false" outlineLevel="0" collapsed="false">
      <c r="A75" s="8" t="s">
        <v>64</v>
      </c>
      <c r="B75" s="8" t="s">
        <v>53</v>
      </c>
      <c r="C75" s="9" t="n">
        <v>0</v>
      </c>
      <c r="D75" s="9" t="n">
        <v>0</v>
      </c>
      <c r="E75" s="9" t="n">
        <v>4</v>
      </c>
      <c r="F75" s="12" t="n">
        <v>-4</v>
      </c>
    </row>
    <row r="76" customFormat="false" ht="15" hidden="false" customHeight="false" outlineLevel="0" collapsed="false">
      <c r="A76" s="8" t="s">
        <v>65</v>
      </c>
      <c r="B76" s="8" t="s">
        <v>19</v>
      </c>
      <c r="C76" s="9" t="n">
        <v>2</v>
      </c>
      <c r="D76" s="9" t="n">
        <v>4</v>
      </c>
      <c r="E76" s="9" t="n">
        <v>0</v>
      </c>
      <c r="F76" s="13" t="n">
        <v>4</v>
      </c>
    </row>
    <row r="77" customFormat="false" ht="15" hidden="false" customHeight="false" outlineLevel="0" collapsed="false">
      <c r="A77" s="8" t="s">
        <v>42</v>
      </c>
      <c r="B77" s="8" t="s">
        <v>21</v>
      </c>
      <c r="C77" s="9" t="n">
        <v>0</v>
      </c>
      <c r="D77" s="9" t="n">
        <v>0</v>
      </c>
      <c r="E77" s="9" t="n">
        <v>-4</v>
      </c>
      <c r="F77" s="13" t="n">
        <v>4</v>
      </c>
    </row>
    <row r="78" customFormat="false" ht="15" hidden="false" customHeight="false" outlineLevel="0" collapsed="false">
      <c r="A78" s="8" t="s">
        <v>65</v>
      </c>
      <c r="B78" s="8" t="s">
        <v>53</v>
      </c>
      <c r="C78" s="9" t="n">
        <v>0</v>
      </c>
      <c r="D78" s="9" t="n">
        <v>0</v>
      </c>
      <c r="E78" s="9" t="n">
        <v>4</v>
      </c>
      <c r="F78" s="12" t="n">
        <v>-4</v>
      </c>
    </row>
    <row r="79" customFormat="false" ht="15" hidden="false" customHeight="false" outlineLevel="0" collapsed="false">
      <c r="A79" s="8" t="s">
        <v>50</v>
      </c>
      <c r="B79" s="8" t="s">
        <v>53</v>
      </c>
      <c r="C79" s="9" t="n">
        <v>0</v>
      </c>
      <c r="D79" s="9" t="n">
        <v>0</v>
      </c>
      <c r="E79" s="9" t="n">
        <v>4</v>
      </c>
      <c r="F79" s="12" t="n">
        <v>-4</v>
      </c>
    </row>
    <row r="80" customFormat="false" ht="15" hidden="false" customHeight="false" outlineLevel="0" collapsed="false">
      <c r="A80" s="8" t="s">
        <v>54</v>
      </c>
      <c r="B80" s="8" t="s">
        <v>17</v>
      </c>
      <c r="C80" s="9" t="n">
        <v>3</v>
      </c>
      <c r="D80" s="9" t="n">
        <v>4</v>
      </c>
      <c r="E80" s="9" t="n">
        <v>0</v>
      </c>
      <c r="F80" s="13" t="n">
        <v>4</v>
      </c>
    </row>
    <row r="81" customFormat="false" ht="15" hidden="false" customHeight="false" outlineLevel="0" collapsed="false">
      <c r="A81" s="8" t="s">
        <v>66</v>
      </c>
      <c r="B81" s="8" t="s">
        <v>17</v>
      </c>
      <c r="C81" s="9" t="n">
        <v>1</v>
      </c>
      <c r="D81" s="9" t="n">
        <v>129</v>
      </c>
      <c r="E81" s="9" t="n">
        <v>133</v>
      </c>
      <c r="F81" s="12" t="n">
        <v>-4</v>
      </c>
    </row>
    <row r="82" customFormat="false" ht="15" hidden="false" customHeight="false" outlineLevel="0" collapsed="false">
      <c r="A82" s="8" t="s">
        <v>62</v>
      </c>
      <c r="B82" s="8" t="s">
        <v>21</v>
      </c>
      <c r="C82" s="9" t="n">
        <v>5</v>
      </c>
      <c r="D82" s="9" t="n">
        <v>4</v>
      </c>
      <c r="E82" s="9" t="n">
        <v>0</v>
      </c>
      <c r="F82" s="13" t="n">
        <v>4</v>
      </c>
    </row>
    <row r="83" customFormat="false" ht="15" hidden="false" customHeight="false" outlineLevel="0" collapsed="false">
      <c r="A83" s="8" t="s">
        <v>39</v>
      </c>
      <c r="B83" s="8" t="s">
        <v>53</v>
      </c>
      <c r="C83" s="9" t="n">
        <v>2</v>
      </c>
      <c r="D83" s="9" t="n">
        <v>4</v>
      </c>
      <c r="E83" s="9" t="n">
        <v>0</v>
      </c>
      <c r="F83" s="13" t="n">
        <v>4</v>
      </c>
    </row>
    <row r="84" customFormat="false" ht="15" hidden="false" customHeight="false" outlineLevel="0" collapsed="false">
      <c r="A84" s="8" t="s">
        <v>67</v>
      </c>
      <c r="B84" s="8" t="s">
        <v>17</v>
      </c>
      <c r="C84" s="9" t="n">
        <v>3</v>
      </c>
      <c r="D84" s="9" t="n">
        <v>3</v>
      </c>
      <c r="E84" s="9" t="n">
        <v>0</v>
      </c>
      <c r="F84" s="13" t="n">
        <v>3</v>
      </c>
    </row>
    <row r="85" customFormat="false" ht="15" hidden="false" customHeight="false" outlineLevel="0" collapsed="false">
      <c r="A85" s="8" t="s">
        <v>63</v>
      </c>
      <c r="B85" s="8" t="s">
        <v>17</v>
      </c>
      <c r="C85" s="9" t="n">
        <v>3</v>
      </c>
      <c r="D85" s="9" t="n">
        <v>3</v>
      </c>
      <c r="E85" s="9" t="n">
        <v>0</v>
      </c>
      <c r="F85" s="13" t="n">
        <v>3</v>
      </c>
    </row>
    <row r="86" customFormat="false" ht="15" hidden="false" customHeight="false" outlineLevel="0" collapsed="false">
      <c r="A86" s="8" t="s">
        <v>68</v>
      </c>
      <c r="B86" s="8" t="s">
        <v>53</v>
      </c>
      <c r="C86" s="9" t="n">
        <v>0</v>
      </c>
      <c r="D86" s="9" t="n">
        <v>0</v>
      </c>
      <c r="E86" s="9" t="n">
        <v>3</v>
      </c>
      <c r="F86" s="12" t="n">
        <v>-3</v>
      </c>
    </row>
    <row r="87" customFormat="false" ht="15" hidden="false" customHeight="false" outlineLevel="0" collapsed="false">
      <c r="A87" s="8" t="s">
        <v>64</v>
      </c>
      <c r="B87" s="8" t="s">
        <v>19</v>
      </c>
      <c r="C87" s="9" t="n">
        <v>2</v>
      </c>
      <c r="D87" s="9" t="n">
        <v>3</v>
      </c>
      <c r="E87" s="9" t="n">
        <v>0</v>
      </c>
      <c r="F87" s="13" t="n">
        <v>3</v>
      </c>
    </row>
    <row r="88" customFormat="false" ht="15" hidden="false" customHeight="false" outlineLevel="0" collapsed="false">
      <c r="A88" s="8" t="s">
        <v>44</v>
      </c>
      <c r="B88" s="8" t="s">
        <v>21</v>
      </c>
      <c r="C88" s="9" t="n">
        <v>0</v>
      </c>
      <c r="D88" s="9" t="n">
        <v>0</v>
      </c>
      <c r="E88" s="9" t="n">
        <v>-3</v>
      </c>
      <c r="F88" s="13" t="n">
        <v>3</v>
      </c>
    </row>
    <row r="89" customFormat="false" ht="15" hidden="false" customHeight="false" outlineLevel="0" collapsed="false">
      <c r="A89" s="8" t="s">
        <v>66</v>
      </c>
      <c r="B89" s="8" t="s">
        <v>19</v>
      </c>
      <c r="C89" s="9" t="n">
        <v>0</v>
      </c>
      <c r="D89" s="9" t="n">
        <v>0</v>
      </c>
      <c r="E89" s="9" t="n">
        <v>-3</v>
      </c>
      <c r="F89" s="13" t="n">
        <v>3</v>
      </c>
    </row>
    <row r="90" customFormat="false" ht="15" hidden="false" customHeight="false" outlineLevel="0" collapsed="false">
      <c r="A90" s="8" t="s">
        <v>52</v>
      </c>
      <c r="B90" s="8" t="s">
        <v>21</v>
      </c>
      <c r="C90" s="9" t="n">
        <v>3</v>
      </c>
      <c r="D90" s="9" t="n">
        <v>3</v>
      </c>
      <c r="E90" s="9" t="n">
        <v>0</v>
      </c>
      <c r="F90" s="13" t="n">
        <v>3</v>
      </c>
    </row>
    <row r="91" customFormat="false" ht="15" hidden="false" customHeight="false" outlineLevel="0" collapsed="false">
      <c r="A91" s="8" t="s">
        <v>69</v>
      </c>
      <c r="B91" s="8" t="s">
        <v>19</v>
      </c>
      <c r="C91" s="9" t="n">
        <v>3</v>
      </c>
      <c r="D91" s="9" t="n">
        <v>3</v>
      </c>
      <c r="E91" s="9" t="n">
        <v>0</v>
      </c>
      <c r="F91" s="13" t="n">
        <v>3</v>
      </c>
    </row>
    <row r="92" customFormat="false" ht="15" hidden="false" customHeight="false" outlineLevel="0" collapsed="false">
      <c r="A92" s="8" t="s">
        <v>47</v>
      </c>
      <c r="B92" s="8" t="s">
        <v>21</v>
      </c>
      <c r="C92" s="9" t="n">
        <v>0</v>
      </c>
      <c r="D92" s="9" t="n">
        <v>0</v>
      </c>
      <c r="E92" s="9" t="n">
        <v>-3</v>
      </c>
      <c r="F92" s="13" t="n">
        <v>3</v>
      </c>
    </row>
    <row r="93" customFormat="false" ht="15" hidden="false" customHeight="false" outlineLevel="0" collapsed="false">
      <c r="A93" s="8" t="s">
        <v>70</v>
      </c>
      <c r="B93" s="8" t="s">
        <v>21</v>
      </c>
      <c r="C93" s="9" t="n">
        <v>2</v>
      </c>
      <c r="D93" s="9" t="n">
        <v>3</v>
      </c>
      <c r="E93" s="9" t="n">
        <v>6</v>
      </c>
      <c r="F93" s="12" t="n">
        <v>-3</v>
      </c>
    </row>
    <row r="94" customFormat="false" ht="15" hidden="false" customHeight="false" outlineLevel="0" collapsed="false">
      <c r="A94" s="8" t="s">
        <v>54</v>
      </c>
      <c r="B94" s="8" t="s">
        <v>21</v>
      </c>
      <c r="C94" s="9" t="n">
        <v>2</v>
      </c>
      <c r="D94" s="9" t="n">
        <v>2</v>
      </c>
      <c r="E94" s="9" t="n">
        <v>0</v>
      </c>
      <c r="F94" s="13" t="n">
        <v>2</v>
      </c>
    </row>
    <row r="95" customFormat="false" ht="15" hidden="false" customHeight="false" outlineLevel="0" collapsed="false">
      <c r="A95" s="8" t="s">
        <v>69</v>
      </c>
      <c r="B95" s="8" t="s">
        <v>21</v>
      </c>
      <c r="C95" s="9" t="n">
        <v>1</v>
      </c>
      <c r="D95" s="9" t="n">
        <v>0</v>
      </c>
      <c r="E95" s="9" t="n">
        <v>2</v>
      </c>
      <c r="F95" s="12" t="n">
        <v>-2</v>
      </c>
    </row>
    <row r="96" customFormat="false" ht="15" hidden="false" customHeight="false" outlineLevel="0" collapsed="false">
      <c r="A96" s="8" t="s">
        <v>68</v>
      </c>
      <c r="B96" s="8" t="s">
        <v>17</v>
      </c>
      <c r="C96" s="9" t="n">
        <v>3</v>
      </c>
      <c r="D96" s="9" t="n">
        <v>238</v>
      </c>
      <c r="E96" s="9" t="n">
        <v>236</v>
      </c>
      <c r="F96" s="13" t="n">
        <v>2</v>
      </c>
    </row>
    <row r="97" customFormat="false" ht="15" hidden="false" customHeight="false" outlineLevel="0" collapsed="false">
      <c r="A97" s="8" t="s">
        <v>59</v>
      </c>
      <c r="B97" s="8" t="s">
        <v>21</v>
      </c>
      <c r="C97" s="9" t="n">
        <v>0</v>
      </c>
      <c r="D97" s="9" t="n">
        <v>0</v>
      </c>
      <c r="E97" s="9" t="n">
        <v>2</v>
      </c>
      <c r="F97" s="12" t="n">
        <v>-2</v>
      </c>
    </row>
    <row r="98" customFormat="false" ht="15" hidden="false" customHeight="false" outlineLevel="0" collapsed="false">
      <c r="A98" s="8" t="s">
        <v>55</v>
      </c>
      <c r="B98" s="8" t="s">
        <v>53</v>
      </c>
      <c r="C98" s="9" t="n">
        <v>0</v>
      </c>
      <c r="D98" s="9" t="n">
        <v>0</v>
      </c>
      <c r="E98" s="9" t="n">
        <v>2</v>
      </c>
      <c r="F98" s="12" t="n">
        <v>-2</v>
      </c>
    </row>
    <row r="99" customFormat="false" ht="15" hidden="false" customHeight="false" outlineLevel="0" collapsed="false">
      <c r="A99" s="8" t="s">
        <v>68</v>
      </c>
      <c r="B99" s="8" t="s">
        <v>19</v>
      </c>
      <c r="C99" s="9" t="n">
        <v>1</v>
      </c>
      <c r="D99" s="9" t="n">
        <v>2</v>
      </c>
      <c r="E99" s="9" t="n">
        <v>0</v>
      </c>
      <c r="F99" s="13" t="n">
        <v>2</v>
      </c>
    </row>
    <row r="100" customFormat="false" ht="15" hidden="false" customHeight="false" outlineLevel="0" collapsed="false">
      <c r="A100" s="8" t="s">
        <v>46</v>
      </c>
      <c r="B100" s="8" t="s">
        <v>21</v>
      </c>
      <c r="C100" s="9" t="n">
        <v>0</v>
      </c>
      <c r="D100" s="9" t="n">
        <v>0</v>
      </c>
      <c r="E100" s="9" t="n">
        <v>-2</v>
      </c>
      <c r="F100" s="13" t="n">
        <v>2</v>
      </c>
    </row>
    <row r="101" customFormat="false" ht="15" hidden="false" customHeight="false" outlineLevel="0" collapsed="false">
      <c r="A101" s="8" t="s">
        <v>70</v>
      </c>
      <c r="B101" s="8" t="s">
        <v>19</v>
      </c>
      <c r="C101" s="9" t="n">
        <v>6</v>
      </c>
      <c r="D101" s="9" t="n">
        <v>2</v>
      </c>
      <c r="E101" s="9" t="n">
        <v>0</v>
      </c>
      <c r="F101" s="13" t="n">
        <v>2</v>
      </c>
    </row>
    <row r="102" customFormat="false" ht="15" hidden="false" customHeight="false" outlineLevel="0" collapsed="false">
      <c r="A102" s="8" t="s">
        <v>62</v>
      </c>
      <c r="B102" s="8" t="s">
        <v>19</v>
      </c>
      <c r="C102" s="9" t="n">
        <v>2</v>
      </c>
      <c r="D102" s="9" t="n">
        <v>2</v>
      </c>
      <c r="E102" s="9" t="n">
        <v>0</v>
      </c>
      <c r="F102" s="13" t="n">
        <v>2</v>
      </c>
    </row>
    <row r="103" customFormat="false" ht="15" hidden="false" customHeight="false" outlineLevel="0" collapsed="false">
      <c r="A103" s="8" t="s">
        <v>54</v>
      </c>
      <c r="B103" s="8" t="s">
        <v>19</v>
      </c>
      <c r="C103" s="9" t="n">
        <v>2</v>
      </c>
      <c r="D103" s="9" t="n">
        <v>2</v>
      </c>
      <c r="E103" s="9" t="n">
        <v>0</v>
      </c>
      <c r="F103" s="13" t="n">
        <v>2</v>
      </c>
    </row>
    <row r="104" customFormat="false" ht="15" hidden="false" customHeight="false" outlineLevel="0" collapsed="false">
      <c r="A104" s="8" t="s">
        <v>43</v>
      </c>
      <c r="B104" s="8" t="s">
        <v>21</v>
      </c>
      <c r="C104" s="9" t="n">
        <v>4</v>
      </c>
      <c r="D104" s="9" t="n">
        <v>5</v>
      </c>
      <c r="E104" s="9" t="n">
        <v>3</v>
      </c>
      <c r="F104" s="13" t="n">
        <v>2</v>
      </c>
    </row>
    <row r="105" customFormat="false" ht="15" hidden="false" customHeight="false" outlineLevel="0" collapsed="false">
      <c r="A105" s="8" t="s">
        <v>67</v>
      </c>
      <c r="B105" s="8" t="s">
        <v>53</v>
      </c>
      <c r="C105" s="9" t="n">
        <v>0</v>
      </c>
      <c r="D105" s="9" t="n">
        <v>0</v>
      </c>
      <c r="E105" s="9" t="n">
        <v>2</v>
      </c>
      <c r="F105" s="12" t="n">
        <v>-2</v>
      </c>
    </row>
    <row r="106" customFormat="false" ht="15" hidden="false" customHeight="false" outlineLevel="0" collapsed="false">
      <c r="A106" s="8" t="s">
        <v>71</v>
      </c>
      <c r="B106" s="8" t="s">
        <v>53</v>
      </c>
      <c r="C106" s="9" t="n">
        <v>0</v>
      </c>
      <c r="D106" s="9" t="n">
        <v>0</v>
      </c>
      <c r="E106" s="9" t="n">
        <v>1</v>
      </c>
      <c r="F106" s="12" t="n">
        <v>-1</v>
      </c>
    </row>
    <row r="107" customFormat="false" ht="15" hidden="false" customHeight="false" outlineLevel="0" collapsed="false">
      <c r="A107" s="8" t="s">
        <v>72</v>
      </c>
      <c r="B107" s="8" t="s">
        <v>53</v>
      </c>
      <c r="C107" s="9" t="n">
        <v>0</v>
      </c>
      <c r="D107" s="9" t="n">
        <v>0</v>
      </c>
      <c r="E107" s="9" t="n">
        <v>1</v>
      </c>
      <c r="F107" s="12" t="n">
        <v>-1</v>
      </c>
    </row>
    <row r="108" customFormat="false" ht="15" hidden="false" customHeight="false" outlineLevel="0" collapsed="false">
      <c r="A108" s="8" t="s">
        <v>31</v>
      </c>
      <c r="B108" s="8" t="s">
        <v>53</v>
      </c>
      <c r="C108" s="9" t="n">
        <v>0</v>
      </c>
      <c r="D108" s="9" t="n">
        <v>0</v>
      </c>
      <c r="E108" s="9" t="n">
        <v>-1</v>
      </c>
      <c r="F108" s="13" t="n">
        <v>1</v>
      </c>
    </row>
    <row r="109" customFormat="false" ht="15" hidden="false" customHeight="false" outlineLevel="0" collapsed="false">
      <c r="A109" s="8" t="s">
        <v>60</v>
      </c>
      <c r="B109" s="8" t="s">
        <v>21</v>
      </c>
      <c r="C109" s="9" t="n">
        <v>0</v>
      </c>
      <c r="D109" s="9" t="n">
        <v>0</v>
      </c>
      <c r="E109" s="9" t="n">
        <v>-1</v>
      </c>
      <c r="F109" s="13" t="n">
        <v>1</v>
      </c>
    </row>
    <row r="110" customFormat="false" ht="15" hidden="false" customHeight="false" outlineLevel="0" collapsed="false">
      <c r="A110" s="8" t="s">
        <v>68</v>
      </c>
      <c r="B110" s="8" t="s">
        <v>21</v>
      </c>
      <c r="C110" s="9" t="n">
        <v>3</v>
      </c>
      <c r="D110" s="9" t="n">
        <v>-1</v>
      </c>
      <c r="E110" s="9" t="n">
        <v>0</v>
      </c>
      <c r="F110" s="12" t="n">
        <v>-1</v>
      </c>
    </row>
    <row r="111" customFormat="false" ht="15" hidden="false" customHeight="false" outlineLevel="0" collapsed="false">
      <c r="A111" s="8" t="s">
        <v>32</v>
      </c>
      <c r="B111" s="8" t="s">
        <v>53</v>
      </c>
      <c r="C111" s="9" t="n">
        <v>0</v>
      </c>
      <c r="D111" s="9" t="n">
        <v>0</v>
      </c>
      <c r="E111" s="9" t="n">
        <v>-1</v>
      </c>
      <c r="F111" s="13" t="n">
        <v>1</v>
      </c>
    </row>
    <row r="112" customFormat="false" ht="15" hidden="false" customHeight="false" outlineLevel="0" collapsed="false">
      <c r="A112" s="8" t="s">
        <v>66</v>
      </c>
      <c r="B112" s="8" t="s">
        <v>21</v>
      </c>
      <c r="C112" s="9" t="n">
        <v>0</v>
      </c>
      <c r="D112" s="9" t="n">
        <v>0</v>
      </c>
      <c r="E112" s="9" t="n">
        <v>-1</v>
      </c>
      <c r="F112" s="13" t="n">
        <v>1</v>
      </c>
    </row>
    <row r="113" customFormat="false" ht="15" hidden="false" customHeight="false" outlineLevel="0" collapsed="false">
      <c r="A113" s="8" t="s">
        <v>67</v>
      </c>
      <c r="B113" s="8" t="s">
        <v>19</v>
      </c>
      <c r="C113" s="9" t="n">
        <v>3</v>
      </c>
      <c r="D113" s="9" t="n">
        <v>-1</v>
      </c>
      <c r="E113" s="9" t="n">
        <v>0</v>
      </c>
      <c r="F113" s="12" t="n">
        <v>-1</v>
      </c>
    </row>
    <row r="114" customFormat="false" ht="15" hidden="false" customHeight="false" outlineLevel="0" collapsed="false">
      <c r="A114" s="8" t="s">
        <v>49</v>
      </c>
      <c r="B114" s="8" t="s">
        <v>53</v>
      </c>
      <c r="C114" s="9" t="n">
        <v>1</v>
      </c>
      <c r="D114" s="9" t="n">
        <v>1</v>
      </c>
      <c r="E114" s="9" t="n">
        <v>0</v>
      </c>
      <c r="F114" s="13" t="n">
        <v>1</v>
      </c>
    </row>
    <row r="115" customFormat="false" ht="15" hidden="false" customHeight="false" outlineLevel="0" collapsed="false">
      <c r="A115" s="8" t="s">
        <v>72</v>
      </c>
      <c r="B115" s="8" t="s">
        <v>21</v>
      </c>
      <c r="C115" s="9" t="n">
        <v>1</v>
      </c>
      <c r="D115" s="9" t="n">
        <v>1</v>
      </c>
      <c r="E115" s="9" t="n">
        <v>0</v>
      </c>
      <c r="F115" s="13" t="n">
        <v>1</v>
      </c>
    </row>
    <row r="116" customFormat="false" ht="15" hidden="false" customHeight="false" outlineLevel="0" collapsed="false">
      <c r="A116" s="8" t="s">
        <v>48</v>
      </c>
      <c r="B116" s="8" t="s">
        <v>53</v>
      </c>
      <c r="C116" s="9" t="n">
        <v>1</v>
      </c>
      <c r="D116" s="9" t="n">
        <v>1</v>
      </c>
      <c r="E116" s="9" t="n">
        <v>0</v>
      </c>
      <c r="F116" s="13" t="n">
        <v>1</v>
      </c>
    </row>
    <row r="117" customFormat="false" ht="15" hidden="false" customHeight="false" outlineLevel="0" collapsed="false">
      <c r="A117" s="8" t="s">
        <v>51</v>
      </c>
      <c r="B117" s="8" t="s">
        <v>17</v>
      </c>
      <c r="C117" s="9" t="n">
        <v>3</v>
      </c>
      <c r="D117" s="9" t="n">
        <v>-1</v>
      </c>
      <c r="E117" s="9" t="n">
        <v>0</v>
      </c>
      <c r="F117" s="12" t="n">
        <v>-1</v>
      </c>
    </row>
    <row r="118" customFormat="false" ht="15" hidden="false" customHeight="false" outlineLevel="0" collapsed="false">
      <c r="A118" s="8" t="s">
        <v>59</v>
      </c>
      <c r="B118" s="8" t="s">
        <v>53</v>
      </c>
      <c r="C118" s="9" t="n">
        <v>2</v>
      </c>
      <c r="D118" s="9" t="n">
        <v>1</v>
      </c>
      <c r="E118" s="9" t="n">
        <v>0</v>
      </c>
      <c r="F118" s="13" t="n">
        <v>1</v>
      </c>
    </row>
    <row r="119" customFormat="false" ht="15" hidden="false" customHeight="false" outlineLevel="0" collapsed="false">
      <c r="A119" s="8" t="s">
        <v>63</v>
      </c>
      <c r="B119" s="8" t="s">
        <v>19</v>
      </c>
      <c r="C119" s="9" t="n">
        <v>2</v>
      </c>
      <c r="D119" s="9" t="n">
        <v>1</v>
      </c>
      <c r="E119" s="9" t="n">
        <v>0</v>
      </c>
      <c r="F119" s="13" t="n">
        <v>1</v>
      </c>
    </row>
    <row r="120" customFormat="false" ht="15" hidden="false" customHeight="false" outlineLevel="0" collapsed="false">
      <c r="A120" s="8" t="s">
        <v>50</v>
      </c>
      <c r="B120" s="8" t="s">
        <v>53</v>
      </c>
      <c r="C120" s="9" t="n">
        <v>2</v>
      </c>
      <c r="D120" s="9" t="n">
        <v>-1</v>
      </c>
      <c r="E120" s="9" t="n">
        <v>0</v>
      </c>
      <c r="F120" s="12" t="n">
        <v>-1</v>
      </c>
    </row>
    <row r="121" customFormat="false" ht="15" hidden="false" customHeight="false" outlineLevel="0" collapsed="false">
      <c r="A121" s="8" t="s">
        <v>73</v>
      </c>
      <c r="B121" s="8" t="s">
        <v>17</v>
      </c>
      <c r="C121" s="9" t="n">
        <v>3</v>
      </c>
      <c r="D121" s="9" t="n">
        <v>1</v>
      </c>
      <c r="E121" s="9" t="n">
        <v>0</v>
      </c>
      <c r="F121" s="13" t="n">
        <v>1</v>
      </c>
    </row>
    <row r="122" customFormat="false" ht="15" hidden="false" customHeight="false" outlineLevel="0" collapsed="false">
      <c r="A122" s="8" t="s">
        <v>71</v>
      </c>
      <c r="B122" s="8" t="s">
        <v>17</v>
      </c>
      <c r="C122" s="9" t="n">
        <v>3</v>
      </c>
      <c r="D122" s="9" t="n">
        <v>1</v>
      </c>
      <c r="E122" s="9" t="n">
        <v>0</v>
      </c>
      <c r="F122" s="13" t="n">
        <v>1</v>
      </c>
    </row>
    <row r="123" customFormat="false" ht="15" hidden="false" customHeight="false" outlineLevel="0" collapsed="false">
      <c r="A123" s="8" t="s">
        <v>73</v>
      </c>
      <c r="B123" s="8" t="s">
        <v>53</v>
      </c>
      <c r="C123" s="9" t="n">
        <v>0</v>
      </c>
      <c r="D123" s="9" t="n">
        <v>0</v>
      </c>
      <c r="E123" s="9" t="n">
        <v>1</v>
      </c>
      <c r="F123" s="12" t="n">
        <v>-1</v>
      </c>
    </row>
    <row r="124" customFormat="false" ht="15" hidden="false" customHeight="false" outlineLevel="0" collapsed="false">
      <c r="A124" s="8" t="s">
        <v>43</v>
      </c>
      <c r="B124" s="8" t="s">
        <v>53</v>
      </c>
      <c r="C124" s="9" t="n">
        <v>1</v>
      </c>
      <c r="D124" s="9" t="n">
        <v>1</v>
      </c>
      <c r="E124" s="9" t="n">
        <v>0</v>
      </c>
      <c r="F124" s="13" t="n">
        <v>1</v>
      </c>
    </row>
    <row r="125" customFormat="false" ht="15" hidden="false" customHeight="false" outlineLevel="0" collapsed="false">
      <c r="A125" s="8" t="s">
        <v>70</v>
      </c>
      <c r="B125" s="8" t="s">
        <v>53</v>
      </c>
      <c r="C125" s="9" t="n">
        <v>2</v>
      </c>
      <c r="D125" s="9" t="n">
        <v>1</v>
      </c>
      <c r="E125" s="9" t="n">
        <v>0</v>
      </c>
      <c r="F125" s="13" t="n">
        <v>1</v>
      </c>
    </row>
    <row r="126" customFormat="false" ht="15" hidden="false" customHeight="false" outlineLevel="0" collapsed="false">
      <c r="A126" s="8" t="s">
        <v>64</v>
      </c>
      <c r="B126" s="8" t="s">
        <v>17</v>
      </c>
      <c r="C126" s="9" t="n">
        <v>3</v>
      </c>
      <c r="D126" s="9" t="n">
        <v>1</v>
      </c>
      <c r="E126" s="9" t="n">
        <v>0</v>
      </c>
      <c r="F126" s="13" t="n">
        <v>1</v>
      </c>
    </row>
    <row r="127" customFormat="false" ht="15" hidden="false" customHeight="false" outlineLevel="0" collapsed="false">
      <c r="A127" s="8" t="s">
        <v>69</v>
      </c>
      <c r="B127" s="8" t="s">
        <v>17</v>
      </c>
      <c r="C127" s="9" t="n">
        <v>13</v>
      </c>
      <c r="D127" s="9" t="n">
        <v>83</v>
      </c>
      <c r="E127" s="9" t="n">
        <v>84</v>
      </c>
      <c r="F127" s="12" t="n">
        <v>-1</v>
      </c>
    </row>
    <row r="128" customFormat="false" ht="15" hidden="false" customHeight="false" outlineLevel="0" collapsed="false">
      <c r="A128" s="8" t="s">
        <v>57</v>
      </c>
      <c r="B128" s="8" t="s">
        <v>21</v>
      </c>
      <c r="C128" s="9" t="n">
        <v>0</v>
      </c>
      <c r="D128" s="9" t="n">
        <v>0</v>
      </c>
      <c r="E128" s="9" t="n">
        <v>1</v>
      </c>
      <c r="F128" s="12" t="n">
        <v>-1</v>
      </c>
    </row>
  </sheetData>
  <autoFilter ref="A1:F1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74</v>
      </c>
      <c r="B1" s="1"/>
    </row>
    <row r="2" customFormat="false" ht="15" hidden="false" customHeight="false" outlineLevel="0" collapsed="false">
      <c r="A2" s="14"/>
      <c r="B2" s="14"/>
    </row>
    <row r="3" customFormat="false" ht="15" hidden="false" customHeight="false" outlineLevel="0" collapsed="false">
      <c r="A3" s="15" t="s">
        <v>75</v>
      </c>
      <c r="B3" s="14"/>
    </row>
    <row r="4" customFormat="false" ht="15" hidden="false" customHeight="false" outlineLevel="0" collapsed="false">
      <c r="A4" s="14"/>
      <c r="B4" s="14"/>
    </row>
    <row r="5" customFormat="false" ht="46.25" hidden="false" customHeight="false" outlineLevel="0" collapsed="false">
      <c r="A5" s="16" t="s">
        <v>76</v>
      </c>
      <c r="B5" s="17" t="s">
        <v>77</v>
      </c>
    </row>
    <row r="6" customFormat="false" ht="15" hidden="false" customHeight="false" outlineLevel="0" collapsed="false">
      <c r="A6" s="14"/>
      <c r="B6" s="14"/>
    </row>
    <row r="7" customFormat="false" ht="68.65" hidden="false" customHeight="false" outlineLevel="0" collapsed="false">
      <c r="A7" s="16" t="s">
        <v>78</v>
      </c>
      <c r="B7" s="17" t="s">
        <v>79</v>
      </c>
    </row>
    <row r="8" customFormat="false" ht="15" hidden="false" customHeight="false" outlineLevel="0" collapsed="false">
      <c r="A8" s="14"/>
      <c r="B8" s="14"/>
    </row>
    <row r="9" customFormat="false" ht="57.45" hidden="false" customHeight="false" outlineLevel="0" collapsed="false">
      <c r="A9" s="16" t="s">
        <v>80</v>
      </c>
      <c r="B9" s="17" t="s">
        <v>81</v>
      </c>
    </row>
    <row r="10" customFormat="false" ht="15" hidden="false" customHeight="false" outlineLevel="0" collapsed="false">
      <c r="A10" s="14"/>
      <c r="B10" s="14"/>
    </row>
    <row r="11" customFormat="false" ht="23.85" hidden="false" customHeight="false" outlineLevel="0" collapsed="false">
      <c r="A11" s="16" t="s">
        <v>82</v>
      </c>
      <c r="B11" s="17" t="s">
        <v>83</v>
      </c>
    </row>
    <row r="12" customFormat="false" ht="15" hidden="false" customHeight="false" outlineLevel="0" collapsed="false">
      <c r="A12" s="14"/>
      <c r="B12" s="14"/>
    </row>
    <row r="13" customFormat="false" ht="15" hidden="false" customHeight="false" outlineLevel="0" collapsed="false">
      <c r="A13" s="14"/>
      <c r="B13" s="14"/>
    </row>
    <row r="14" customFormat="false" ht="15" hidden="false" customHeight="false" outlineLevel="0" collapsed="false">
      <c r="A14" s="15" t="s">
        <v>84</v>
      </c>
      <c r="B14" s="14"/>
    </row>
    <row r="15" customFormat="false" ht="15" hidden="false" customHeight="false" outlineLevel="0" collapsed="false">
      <c r="A15" s="14"/>
      <c r="B15" s="14"/>
    </row>
    <row r="16" customFormat="false" ht="23.85" hidden="false" customHeight="false" outlineLevel="0" collapsed="false">
      <c r="A16" s="16" t="s">
        <v>17</v>
      </c>
      <c r="B16" s="17" t="s">
        <v>85</v>
      </c>
    </row>
    <row r="17" customFormat="false" ht="35.05" hidden="false" customHeight="false" outlineLevel="0" collapsed="false">
      <c r="A17" s="16" t="s">
        <v>19</v>
      </c>
      <c r="B17" s="17" t="s">
        <v>86</v>
      </c>
    </row>
    <row r="18" customFormat="false" ht="23.85" hidden="false" customHeight="false" outlineLevel="0" collapsed="false">
      <c r="A18" s="16" t="s">
        <v>21</v>
      </c>
      <c r="B18" s="17" t="s">
        <v>87</v>
      </c>
    </row>
    <row r="19" customFormat="false" ht="15" hidden="false" customHeight="false" outlineLevel="0" collapsed="false">
      <c r="A19" s="14"/>
      <c r="B19" s="14"/>
    </row>
    <row r="20" customFormat="false" ht="15" hidden="false" customHeight="false" outlineLevel="0" collapsed="false">
      <c r="A20" s="14"/>
      <c r="B20" s="14"/>
    </row>
    <row r="21" customFormat="false" ht="15" hidden="false" customHeight="false" outlineLevel="0" collapsed="false">
      <c r="A21" s="15" t="s">
        <v>88</v>
      </c>
      <c r="B21" s="14"/>
    </row>
    <row r="22" customFormat="false" ht="15" hidden="false" customHeight="false" outlineLevel="0" collapsed="false">
      <c r="A22" s="14"/>
      <c r="B22" s="14"/>
    </row>
    <row r="23" customFormat="false" ht="35.05" hidden="false" customHeight="false" outlineLevel="0" collapsed="false">
      <c r="A23" s="16" t="s">
        <v>89</v>
      </c>
      <c r="B23" s="17" t="s">
        <v>90</v>
      </c>
    </row>
    <row r="24" customFormat="false" ht="23.85" hidden="false" customHeight="false" outlineLevel="0" collapsed="false">
      <c r="A24" s="16" t="s">
        <v>91</v>
      </c>
      <c r="B24" s="17" t="s">
        <v>92</v>
      </c>
    </row>
    <row r="25" customFormat="false" ht="23.85" hidden="false" customHeight="false" outlineLevel="0" collapsed="false">
      <c r="A25" s="16" t="s">
        <v>93</v>
      </c>
      <c r="B25" s="17" t="s">
        <v>94</v>
      </c>
    </row>
    <row r="26" customFormat="false" ht="23.85" hidden="false" customHeight="false" outlineLevel="0" collapsed="false">
      <c r="A26" s="16" t="s">
        <v>95</v>
      </c>
      <c r="B26" s="17" t="s">
        <v>96</v>
      </c>
    </row>
    <row r="27" customFormat="false" ht="15" hidden="false" customHeight="false" outlineLevel="0" collapsed="false">
      <c r="A27" s="14"/>
      <c r="B27" s="14"/>
    </row>
    <row r="28" customFormat="false" ht="15" hidden="false" customHeight="false" outlineLevel="0" collapsed="false">
      <c r="A28" s="14"/>
      <c r="B28" s="14"/>
    </row>
    <row r="29" customFormat="false" ht="15" hidden="false" customHeight="false" outlineLevel="0" collapsed="false">
      <c r="A29" s="15" t="s">
        <v>97</v>
      </c>
      <c r="B29" s="14"/>
    </row>
    <row r="30" customFormat="false" ht="15" hidden="false" customHeight="false" outlineLevel="0" collapsed="false">
      <c r="A30" s="14"/>
      <c r="B30" s="14"/>
    </row>
    <row r="31" customFormat="false" ht="180.55" hidden="false" customHeight="false" outlineLevel="0" collapsed="false">
      <c r="A31" s="16" t="s">
        <v>98</v>
      </c>
      <c r="B31" s="17" t="s">
        <v>99</v>
      </c>
    </row>
    <row r="32" customFormat="false" ht="15" hidden="false" customHeight="false" outlineLevel="0" collapsed="false">
      <c r="A32" s="14"/>
      <c r="B32" s="14"/>
    </row>
    <row r="33" customFormat="false" ht="57.45" hidden="false" customHeight="false" outlineLevel="0" collapsed="false">
      <c r="A33" s="16" t="s">
        <v>100</v>
      </c>
      <c r="B33" s="17" t="s">
        <v>101</v>
      </c>
    </row>
    <row r="34" customFormat="false" ht="15" hidden="false" customHeight="false" outlineLevel="0" collapsed="false">
      <c r="A34" s="14"/>
      <c r="B34" s="14"/>
    </row>
    <row r="35" customFormat="false" ht="68.65" hidden="false" customHeight="false" outlineLevel="0" collapsed="false">
      <c r="A35" s="16" t="s">
        <v>102</v>
      </c>
      <c r="B35" s="17" t="s">
        <v>103</v>
      </c>
    </row>
    <row r="36" customFormat="false" ht="15" hidden="false" customHeight="false" outlineLevel="0" collapsed="false">
      <c r="A36" s="14"/>
      <c r="B36" s="14"/>
    </row>
    <row r="37" customFormat="false" ht="46.25" hidden="false" customHeight="false" outlineLevel="0" collapsed="false">
      <c r="A37" s="16" t="s">
        <v>104</v>
      </c>
      <c r="B37" s="17" t="s">
        <v>105</v>
      </c>
    </row>
    <row r="38" customFormat="false" ht="15" hidden="false" customHeight="false" outlineLevel="0" collapsed="false">
      <c r="A38" s="14"/>
      <c r="B38" s="14"/>
    </row>
    <row r="39" customFormat="false" ht="35.05" hidden="false" customHeight="false" outlineLevel="0" collapsed="false">
      <c r="A39" s="16" t="s">
        <v>106</v>
      </c>
      <c r="B39" s="17" t="s">
        <v>107</v>
      </c>
    </row>
    <row r="40" customFormat="false" ht="15" hidden="false" customHeight="false" outlineLevel="0" collapsed="false">
      <c r="A40" s="14"/>
      <c r="B40" s="14"/>
    </row>
    <row r="41" customFormat="false" ht="35.05" hidden="false" customHeight="false" outlineLevel="0" collapsed="false">
      <c r="A41" s="16" t="s">
        <v>108</v>
      </c>
      <c r="B41" s="17" t="s">
        <v>109</v>
      </c>
    </row>
    <row r="42" customFormat="false" ht="15" hidden="false" customHeight="false" outlineLevel="0" collapsed="false">
      <c r="A42" s="14"/>
      <c r="B42" s="14"/>
    </row>
    <row r="43" customFormat="false" ht="35.05" hidden="false" customHeight="false" outlineLevel="0" collapsed="false">
      <c r="A43" s="16" t="s">
        <v>110</v>
      </c>
      <c r="B43" s="17" t="s">
        <v>111</v>
      </c>
    </row>
    <row r="44" customFormat="false" ht="15" hidden="false" customHeight="false" outlineLevel="0" collapsed="false">
      <c r="A44" s="14"/>
      <c r="B44" s="14"/>
    </row>
    <row r="45" customFormat="false" ht="15" hidden="false" customHeight="false" outlineLevel="0" collapsed="false">
      <c r="A45" s="14"/>
      <c r="B45" s="14"/>
    </row>
    <row r="46" customFormat="false" ht="26.85" hidden="false" customHeight="false" outlineLevel="0" collapsed="false">
      <c r="A46" s="15" t="s">
        <v>112</v>
      </c>
      <c r="B46" s="14"/>
    </row>
    <row r="47" customFormat="false" ht="15" hidden="false" customHeight="false" outlineLevel="0" collapsed="false">
      <c r="A47" s="16" t="s">
        <v>113</v>
      </c>
      <c r="B47" s="17" t="s">
        <v>114</v>
      </c>
    </row>
    <row r="48" customFormat="false" ht="15" hidden="false" customHeight="false" outlineLevel="0" collapsed="false">
      <c r="A48" s="16" t="s">
        <v>115</v>
      </c>
      <c r="B48" s="17" t="s">
        <v>116</v>
      </c>
    </row>
    <row r="49" customFormat="false" ht="15" hidden="false" customHeight="false" outlineLevel="0" collapsed="false">
      <c r="A49" s="16" t="s">
        <v>117</v>
      </c>
      <c r="B49" s="17" t="s">
        <v>118</v>
      </c>
    </row>
    <row r="50" customFormat="false" ht="15" hidden="false" customHeight="false" outlineLevel="0" collapsed="false">
      <c r="A50" s="16" t="s">
        <v>119</v>
      </c>
      <c r="B50" s="17" t="s">
        <v>120</v>
      </c>
    </row>
    <row r="51" customFormat="false" ht="15" hidden="false" customHeight="false" outlineLevel="0" collapsed="false">
      <c r="A51" s="16" t="s">
        <v>121</v>
      </c>
      <c r="B51" s="17" t="s">
        <v>122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2026-04-05T15:39:04Z</dcterms:created>
  <dc:creator>openpyxl</dc:creator>
  <dc:description/>
  <dc:language>en-US</dc:language>
  <cp:lastModifiedBy/>
  <dcterms:modified xsi:type="dcterms:W3CDTF">2026-04-05T15:39:04Z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